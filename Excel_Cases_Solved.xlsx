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nya\Downloads\"/>
    </mc:Choice>
  </mc:AlternateContent>
  <xr:revisionPtr revIDLastSave="0" documentId="13_ncr:1_{11F7FDB3-DCC9-48BA-8674-863609CF4736}" xr6:coauthVersionLast="47" xr6:coauthVersionMax="47" xr10:uidLastSave="{00000000-0000-0000-0000-000000000000}"/>
  <bookViews>
    <workbookView xWindow="-120" yWindow="-120" windowWidth="20730" windowHeight="11160" tabRatio="500" firstSheet="21" activeTab="21" xr2:uid="{00000000-000D-0000-FFFF-FFFF00000000}"/>
  </bookViews>
  <sheets>
    <sheet name="Data" sheetId="1" r:id="rId1"/>
    <sheet name="Index" sheetId="2" r:id="rId2"/>
    <sheet name="Case01_LookupAllFields" sheetId="3" r:id="rId3"/>
    <sheet name="Case02_ListAllMatches" sheetId="4" r:id="rId4"/>
    <sheet name="Case03_SUMIF" sheetId="5" r:id="rId5"/>
    <sheet name="Case04_COUNTIF" sheetId="6" r:id="rId6"/>
    <sheet name="Case05_AVERAGEIF" sheetId="7" r:id="rId7"/>
    <sheet name="Case06_SUMIFS" sheetId="8" r:id="rId8"/>
    <sheet name="Case07_COUNTIFS" sheetId="9" r:id="rId9"/>
    <sheet name="Case08_NestedIF" sheetId="10" r:id="rId10"/>
    <sheet name="Case09_VLOOKUP_ApproxMatch" sheetId="11" r:id="rId11"/>
    <sheet name="Case10_RANK" sheetId="12" r:id="rId12"/>
    <sheet name="Case11_LARGE_SMALL" sheetId="13" r:id="rId13"/>
    <sheet name="Case12_IFERROR_MATCH" sheetId="14" r:id="rId14"/>
    <sheet name="Case13_TEXTJOIN" sheetId="15" r:id="rId15"/>
    <sheet name="Case14_TextFunctions" sheetId="16" r:id="rId16"/>
    <sheet name="Case15_DATE_Functions" sheetId="17" r:id="rId17"/>
    <sheet name="Case16_TwoWayLookup" sheetId="18" r:id="rId18"/>
    <sheet name="Case17_DuplicateCheck" sheetId="19" r:id="rId19"/>
    <sheet name="Case18_SUMPRODUCT" sheetId="20" r:id="rId20"/>
    <sheet name="Case19_MaxMin_Employee" sheetId="21" r:id="rId21"/>
    <sheet name="Case20_RunningTotal" sheetId="22" r:id="rId22"/>
    <sheet name="Case21_AgeBracket" sheetId="23" r:id="rId23"/>
    <sheet name="Case22_TextCasing" sheetId="24" r:id="rId2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24" l="1"/>
  <c r="B11" i="24"/>
  <c r="B10" i="24"/>
  <c r="B9" i="24"/>
  <c r="B10" i="23"/>
  <c r="B17" i="22"/>
  <c r="A17" i="22"/>
  <c r="B16" i="22"/>
  <c r="A16" i="22"/>
  <c r="B15" i="22"/>
  <c r="A15" i="22"/>
  <c r="B14" i="22"/>
  <c r="A14" i="22"/>
  <c r="B13" i="22"/>
  <c r="A13" i="22"/>
  <c r="B12" i="22"/>
  <c r="A12" i="22"/>
  <c r="B11" i="22"/>
  <c r="A11" i="22"/>
  <c r="B10" i="22"/>
  <c r="A10" i="22"/>
  <c r="B9" i="22"/>
  <c r="A9" i="22"/>
  <c r="B8" i="22"/>
  <c r="C8" i="22" s="1"/>
  <c r="C9" i="22" s="1"/>
  <c r="C10" i="22" s="1"/>
  <c r="C11" i="22" s="1"/>
  <c r="C12" i="22" s="1"/>
  <c r="C13" i="22" s="1"/>
  <c r="C14" i="22" s="1"/>
  <c r="C15" i="22" s="1"/>
  <c r="C16" i="22" s="1"/>
  <c r="C17" i="22" s="1"/>
  <c r="A8" i="22"/>
  <c r="B11" i="20"/>
  <c r="B10" i="20"/>
  <c r="B9" i="19"/>
  <c r="B10" i="19" s="1"/>
  <c r="B10" i="18"/>
  <c r="B9" i="17"/>
  <c r="B11" i="16"/>
  <c r="B10" i="16"/>
  <c r="B9" i="16"/>
  <c r="B9" i="15"/>
  <c r="B9" i="14"/>
  <c r="B10" i="13"/>
  <c r="B9" i="13"/>
  <c r="B9" i="12"/>
  <c r="B16" i="11"/>
  <c r="B9" i="10"/>
  <c r="B10" i="9"/>
  <c r="B10" i="8"/>
  <c r="B9" i="7"/>
  <c r="B9" i="6"/>
  <c r="B9" i="5"/>
  <c r="B18" i="4" a="1"/>
  <c r="B18" i="4" s="1"/>
  <c r="B17" i="4" a="1"/>
  <c r="B17" i="4" s="1"/>
  <c r="B16" i="4" a="1"/>
  <c r="B16" i="4" s="1"/>
  <c r="B15" i="4" a="1"/>
  <c r="B15" i="4" s="1"/>
  <c r="B14" i="4" a="1"/>
  <c r="B14" i="4" s="1"/>
  <c r="B13" i="4" a="1"/>
  <c r="B13" i="4"/>
  <c r="B12" i="4" a="1"/>
  <c r="B12" i="4"/>
  <c r="B11" i="4" a="1"/>
  <c r="B11" i="4"/>
  <c r="B10" i="4" a="1"/>
  <c r="B10" i="4"/>
  <c r="B9" i="4" a="1"/>
  <c r="B9" i="4"/>
  <c r="B17" i="3"/>
  <c r="B16" i="3"/>
  <c r="B15" i="3"/>
  <c r="B14" i="3"/>
  <c r="B13" i="3"/>
  <c r="B12" i="3"/>
  <c r="B11" i="3"/>
  <c r="B10" i="3"/>
  <c r="B9" i="3"/>
  <c r="B9" i="21"/>
  <c r="B8" i="21"/>
  <c r="B7" i="21"/>
  <c r="B11" i="17" l="1"/>
  <c r="B10" i="17"/>
</calcChain>
</file>

<file path=xl/sharedStrings.xml><?xml version="1.0" encoding="utf-8"?>
<sst xmlns="http://schemas.openxmlformats.org/spreadsheetml/2006/main" count="277" uniqueCount="209">
  <si>
    <t>Name</t>
  </si>
  <si>
    <t>Department</t>
  </si>
  <si>
    <t>Salary</t>
  </si>
  <si>
    <t>Age</t>
  </si>
  <si>
    <t>City</t>
  </si>
  <si>
    <t>Joining Date</t>
  </si>
  <si>
    <t>Bonus %</t>
  </si>
  <si>
    <t>Experience (Years)</t>
  </si>
  <si>
    <t>Rating (1-5)</t>
  </si>
  <si>
    <t>Gender</t>
  </si>
  <si>
    <t>Aarav Sharma</t>
  </si>
  <si>
    <t>Sales</t>
  </si>
  <si>
    <t>Delhi</t>
  </si>
  <si>
    <t>M</t>
  </si>
  <si>
    <t>Priya Verma</t>
  </si>
  <si>
    <t>IT</t>
  </si>
  <si>
    <t>Mumbai</t>
  </si>
  <si>
    <t>F</t>
  </si>
  <si>
    <t>Rohan Gupta</t>
  </si>
  <si>
    <t>HR</t>
  </si>
  <si>
    <t>Sneha Iyer</t>
  </si>
  <si>
    <t>Finance</t>
  </si>
  <si>
    <t>Bangalore</t>
  </si>
  <si>
    <t>Karan Mehta</t>
  </si>
  <si>
    <t>Isha Singh</t>
  </si>
  <si>
    <t>Vikram Rao</t>
  </si>
  <si>
    <t>Marketing</t>
  </si>
  <si>
    <t>Neha Joshi</t>
  </si>
  <si>
    <t>Arjun Nair</t>
  </si>
  <si>
    <t>Divya Kapoor</t>
  </si>
  <si>
    <t>Excel Practice Workbook - Index of Cases</t>
  </si>
  <si>
    <t>#</t>
  </si>
  <si>
    <t>Sheet</t>
  </si>
  <si>
    <t>What it teaches</t>
  </si>
  <si>
    <t>Data</t>
  </si>
  <si>
    <t>Source data used by every case (10 employees, 10 fields)</t>
  </si>
  <si>
    <t>Case01_LookupAllFields</t>
  </si>
  <si>
    <t>INDEX + MATCH - fetch every field for one Name</t>
  </si>
  <si>
    <t>Case02_ListAllMatches</t>
  </si>
  <si>
    <t>Array formula - list ALL Names matching a criterion</t>
  </si>
  <si>
    <t>Case03_SUMIF</t>
  </si>
  <si>
    <t>SUMIF - total salary by department</t>
  </si>
  <si>
    <t>Case04_COUNTIF</t>
  </si>
  <si>
    <t>COUNTIF - count employees above a salary</t>
  </si>
  <si>
    <t>Case05_AVERAGEIF</t>
  </si>
  <si>
    <t>AVERAGEIF - average salary by department</t>
  </si>
  <si>
    <t>Case06_SUMIFS</t>
  </si>
  <si>
    <t>SUMIFS - total salary, two conditions</t>
  </si>
  <si>
    <t>Case07_COUNTIFS</t>
  </si>
  <si>
    <t>COUNTIFS - count, two conditions</t>
  </si>
  <si>
    <t>Case08_NestedIF</t>
  </si>
  <si>
    <t>Nested IF - salary category</t>
  </si>
  <si>
    <t>Case09_VLOOKUP_ApproxMatch</t>
  </si>
  <si>
    <t>VLOOKUP approximate match - tax slabs</t>
  </si>
  <si>
    <t>Case10_RANK</t>
  </si>
  <si>
    <t>RANK - salary ranking</t>
  </si>
  <si>
    <t>Case11_LARGE_SMALL</t>
  </si>
  <si>
    <t>LARGE / SMALL - Nth highest/lowest</t>
  </si>
  <si>
    <t>Case12_IFERROR_MATCH</t>
  </si>
  <si>
    <t>IFERROR + MATCH - existence check</t>
  </si>
  <si>
    <t>Case13_TEXTJOIN</t>
  </si>
  <si>
    <t>TEXTJOIN - build a sentence from fields</t>
  </si>
  <si>
    <t>Case14_TextFunctions</t>
  </si>
  <si>
    <t>LEFT/RIGHT/MID/FIND - split a name</t>
  </si>
  <si>
    <t>Case15_DATE_Functions</t>
  </si>
  <si>
    <t>DATEDIF/TODAY - years &amp; days of service</t>
  </si>
  <si>
    <t>Case16_TwoWayLookup</t>
  </si>
  <si>
    <t>INDEX + MATCH + MATCH - row &amp; column lookup</t>
  </si>
  <si>
    <t>Case17_DuplicateCheck</t>
  </si>
  <si>
    <t>COUNTIF - duplicate detection</t>
  </si>
  <si>
    <t>Case18_SUMPRODUCT</t>
  </si>
  <si>
    <t>SUMPRODUCT - multi-condition sum, no helpers</t>
  </si>
  <si>
    <t>Case19_MaxMin_Employee</t>
  </si>
  <si>
    <t>MAX/MIN + INDEX/MATCH - top &amp; bottom earner</t>
  </si>
  <si>
    <t>Case20_RunningTotal</t>
  </si>
  <si>
    <t>Cumulative running total</t>
  </si>
  <si>
    <t>Case21_AgeBracket</t>
  </si>
  <si>
    <t>COUNTIFS - count within a numeric range</t>
  </si>
  <si>
    <t>Case22_TextCasing</t>
  </si>
  <si>
    <t>PROPER/UPPER/LOWER - text standardization</t>
  </si>
  <si>
    <t>Case01_LookupAllFields: Fetch all details of one Name</t>
  </si>
  <si>
    <t>Question:</t>
  </si>
  <si>
    <t>Type any employee Name into the yellow input cell. All of that employee's details (Department, Salary, Age, City, etc.) should automatically appear in the cells below, fetched from the Data sheet.</t>
  </si>
  <si>
    <t>Enter Name here:</t>
  </si>
  <si>
    <t>Department:</t>
  </si>
  <si>
    <t>Salary:</t>
  </si>
  <si>
    <t>Age:</t>
  </si>
  <si>
    <t>City:</t>
  </si>
  <si>
    <t>Joining Date:</t>
  </si>
  <si>
    <t>Bonus %:</t>
  </si>
  <si>
    <t>Experience (Years):</t>
  </si>
  <si>
    <t>Rating (1-5):</t>
  </si>
  <si>
    <t>Gender:</t>
  </si>
  <si>
    <t>Formula used (example for Department):
=INDEX(Data!B2:B11,MATCH($B$7,Data!$A$2:$A$11,0))
MATCH finds the row number where the Name equals B7; INDEX then pulls the value from that row in the desired column.</t>
  </si>
  <si>
    <t>Case02_ListAllMatches: Extract a list of all matching Names</t>
  </si>
  <si>
    <t>Type a Department name into the yellow input cell. Below it, list EVERY employee Name that belongs to that department (not just the first match).</t>
  </si>
  <si>
    <t>Enter Department here:</t>
  </si>
  <si>
    <t>Matching Names:</t>
  </si>
  <si>
    <t>Formula used (array formula, in the first result cell, then copied down):
=IFERROR(INDEX(Data!$A$2:$A$11,SMALL(IF(Data!$B$2:$B$11=$B$7,ROW(Data!$B$2:$B$11)-ROW(Data!$B$2)+1),1)),"")
The IF builds an array of row-positions where Department matches; SMALL picks the 1st, 2nd, 3rd... match; IFERROR blanks out once there are no more matches.</t>
  </si>
  <si>
    <t>Case03_SUMIF: Total salary by department (SUMIF)</t>
  </si>
  <si>
    <t>Type a Department name. Show the total salary paid to all employees in that department.</t>
  </si>
  <si>
    <t>Enter Department:</t>
  </si>
  <si>
    <t>Total Salary:</t>
  </si>
  <si>
    <t>Formula used:
=SUMIF(Data!$B$2:$B$11,$B$7,Data!$C$2:$C$11)
Adds up Salary (column C) for every row where Department (column B) equals the input.</t>
  </si>
  <si>
    <t>Case04_COUNTIF: Count employees above a salary (COUNTIF)</t>
  </si>
  <si>
    <t>Type a salary amount. Count how many employees earn MORE than that amount.</t>
  </si>
  <si>
    <t>Enter Salary Threshold:</t>
  </si>
  <si>
    <t>Employees Above Threshold:</t>
  </si>
  <si>
    <t>Formula used:
=COUNTIF(Data!$C$2:$C$11,"&gt;"&amp;$B$7)
Counts how many Salary values are greater than the number typed in B7.</t>
  </si>
  <si>
    <t>Case05_AVERAGEIF: Average salary by department (AVERAGEIF)</t>
  </si>
  <si>
    <t>Type a Department name. Show the average salary of employees in that department.</t>
  </si>
  <si>
    <t>Average Salary:</t>
  </si>
  <si>
    <t>Formula used:
=AVERAGEIF(Data!$B$2:$B$11,$B$7,Data!$C$2:$C$11)
Averages Salary for rows where Department matches the input.</t>
  </si>
  <si>
    <t>Case06_SUMIFS: Total salary for Department + City (SUMIFS)</t>
  </si>
  <si>
    <t>Type a Department AND a City. Show total salary of employees matching BOTH conditions.</t>
  </si>
  <si>
    <t>Enter City:</t>
  </si>
  <si>
    <t>Total Salary (Dept + City):</t>
  </si>
  <si>
    <t>Formula used:
=SUMIFS(Data!$C$2:$C$11,Data!$B$2:$B$11,$B$7,Data!$E$2:$E$11,$B$8)
SUMIFS sums Salary only where BOTH Department AND City conditions are true.</t>
  </si>
  <si>
    <t>Case07_COUNTIFS: Count employees by Department + min Rating (COUNTIFS)</t>
  </si>
  <si>
    <t>Type a Department and a minimum Rating. Count employees in that department with a rating at or above that value.</t>
  </si>
  <si>
    <t>Enter Minimum Rating:</t>
  </si>
  <si>
    <t>Matching Employee Count:</t>
  </si>
  <si>
    <t>Formula used:
=COUNTIFS(Data!$B$2:$B$11,$B$7,Data!$I$2:$I$11,"&gt;="&amp;$B$8)
Counts rows where Department matches AND Rating is greater than or equal to the input.</t>
  </si>
  <si>
    <t>Case08_NestedIF: Categorize salary (Nested IF)</t>
  </si>
  <si>
    <t>Type a salary amount. Classify it as Low (&lt;50,000), Medium (50,000-75,000), or High (&gt;75,000).</t>
  </si>
  <si>
    <t>Enter Salary:</t>
  </si>
  <si>
    <t>Salary Category:</t>
  </si>
  <si>
    <t>Formula used:
=IF($B$7&lt;50000,"Low",IF($B$7&lt;=75000,"Medium","High"))
Nested IF: below 50,000 is Low, 50,000-75,000 is Medium, above 75,000 is High.</t>
  </si>
  <si>
    <t>Case09_VLOOKUP_ApproxMatch: Tax slab lookup (VLOOKUP approximate match)</t>
  </si>
  <si>
    <t>A tax slab table is given below. Type a salary. Find the applicable tax rate using an approximate-match VLOOKUP.</t>
  </si>
  <si>
    <t>Tax Slab Table:</t>
  </si>
  <si>
    <t>Salary From</t>
  </si>
  <si>
    <t>Tax Rate</t>
  </si>
  <si>
    <t>Applicable Tax Rate:</t>
  </si>
  <si>
    <t>Formula used:
=VLOOKUP($B$14,$A$9:$B$12,2,TRUE)
TRUE (approximate match) finds the largest 'Salary From' that is &lt;= the entered salary, so the slab table must be sorted ascending.</t>
  </si>
  <si>
    <t>Case10_RANK: Rank an employee by salary (RANK)</t>
  </si>
  <si>
    <t>Type a Name. Show their salary rank among all employees (1 = highest earner).</t>
  </si>
  <si>
    <t>Enter Name:</t>
  </si>
  <si>
    <t>Salary Rank (1 = highest):</t>
  </si>
  <si>
    <t>Formula used:
=RANK(INDEX(Data!$C$2:$C$11,MATCH($B$7,Data!$A$2:$A$11,0)),Data!$C$2:$C$11,0)
First INDEX/MATCH finds that person's salary, then RANK finds its position among all salaries (0 = descending order, so rank 1 is the highest salary).</t>
  </si>
  <si>
    <t>Case11_LARGE_SMALL: N-th highest &amp; lowest salary (LARGE / SMALL)</t>
  </si>
  <si>
    <t>Type a number N. Find the N-th highest salary and the N-th lowest salary in the company.</t>
  </si>
  <si>
    <t>Enter N (e.g. 2 for 2nd):</t>
  </si>
  <si>
    <t>N-th Highest Salary:</t>
  </si>
  <si>
    <t>N-th Lowest Salary:</t>
  </si>
  <si>
    <t>Formulas used:
=LARGE(Data!$C$2:$C$11,$B$7)   and   =SMALL(Data!$C$2:$C$11,$B$7)
LARGE/SMALL return the N-th biggest/smallest value in a range.</t>
  </si>
  <si>
    <t>Case12_IFERROR_MATCH: Check if a Name exists (IFERROR + MATCH)</t>
  </si>
  <si>
    <t>Type any name (real or made-up). Show "Yes, Found" if it exists in the Data sheet, otherwise "No", without ever displaying an #N/A error.</t>
  </si>
  <si>
    <t>Enter Name to check:</t>
  </si>
  <si>
    <t>Rahul Kumar</t>
  </si>
  <si>
    <t>Exists in Data?:</t>
  </si>
  <si>
    <t>Formula used:
=IFERROR(IF(MATCH($B$7,Data!$A$2:$A$11,0)&gt;0,"Yes, Found","No"),"No")
MATCH throws #N/A if the name isn't found; IFERROR catches that and shows "No" instead of an error.</t>
  </si>
  <si>
    <t>Case13_TEXTJOIN: Build a summary sentence (TEXTJOIN)</t>
  </si>
  <si>
    <t>Type a Name. Build one readable sentence combining their Department, City and Salary using TEXTJOIN, e.g. 'Divya Kapoor works in the Sales department...'</t>
  </si>
  <si>
    <t>Summary Sentence:</t>
  </si>
  <si>
    <t>Formula used:
=TEXTJOIN(" ",TRUE,B7,"works in the",INDEX(...Department...),"department, based in",INDEX(...City...),"and earns",INDEX(...Salary...))
TEXTJOIN glues multiple text pieces together with a space, skipping empty ones (the TRUE argument).</t>
  </si>
  <si>
    <t>Case14_TextFunctions: Split a full name into First/Last (LEFT, RIGHT, MID, FIND)</t>
  </si>
  <si>
    <t>Type a full Name (First Last). Extract the First Name, Last Name, and Initials using text functions.</t>
  </si>
  <si>
    <t>Enter Full Name:</t>
  </si>
  <si>
    <t>First Name:</t>
  </si>
  <si>
    <t>Last Name:</t>
  </si>
  <si>
    <t>Initials:</t>
  </si>
  <si>
    <t>Formulas used:
First Name: =LEFT($B$7,FIND(" ",$B$7)-1)
Last Name: =MID($B$7,FIND(" ",$B$7)+1,LEN($B$7))
FIND locates the space; LEFT/MID slice the text before/after it.</t>
  </si>
  <si>
    <t>Case15_DATE_Functions: Years of service &amp; days since joining (DATE functions)</t>
  </si>
  <si>
    <t>Type a Name. Calculate how many full years they've worked (DATEDIF) and how many days have passed since their joining date.</t>
  </si>
  <si>
    <t>Years of Service (as of today):</t>
  </si>
  <si>
    <t>Days Since Joining:</t>
  </si>
  <si>
    <t>Formulas used:
Years: =DATEDIF($B$9,TODAY(),"y")
Days: =TODAY()-$B$9
DATEDIF computes whole years between two dates; simple subtraction of dates gives day count. (Values will change daily since TODAY() is dynamic.)</t>
  </si>
  <si>
    <t>Case16_TwoWayLookup: Two-way lookup: Name + Field (INDEX/MATCH/MATCH)</t>
  </si>
  <si>
    <t>Type a Name AND a column header (like 'Salary' or 'City'). Return the exact value at that intersection - a full row+column lookup.</t>
  </si>
  <si>
    <t>Enter Field (exact column header, e.g. Salary):</t>
  </si>
  <si>
    <t>Result:</t>
  </si>
  <si>
    <t>Formula used:
=INDEX(Data!$A$2:$J$11,MATCH($B$7,Data!$A$2:$A$11,0),MATCH($B$8,Data!$A$1:$J$1,0))
One MATCH finds the row (which Name), a second MATCH finds the column (which Field), and INDEX returns the value at that row/column intersection - a full two-way lookup.</t>
  </si>
  <si>
    <t>Case17_DuplicateCheck: Check for duplicate Names (COUNTIF)</t>
  </si>
  <si>
    <t>Type a Name. Show how many times it appears in the Data sheet, and whether it's a duplicate.</t>
  </si>
  <si>
    <t>Number of Times It Appears:</t>
  </si>
  <si>
    <t>Is it a Duplicate?:</t>
  </si>
  <si>
    <t>Formulas used:
=COUNTIF(Data!$A$2:$A$11,$B$7)
=IF($B$9&gt;1,"Yes, Duplicate","No, Unique")
COUNTIF counts occurrences of the name; if the count is more than 1, it's a duplicate.</t>
  </si>
  <si>
    <t>Case18_SUMPRODUCT: Multi-condition sum without helper columns (SUMPRODUCT)</t>
  </si>
  <si>
    <t>Type a minimum Age and a Gender. Total the salary of everyone matching BOTH conditions using a single SUMPRODUCT formula (no SUMIFS, no helper column).</t>
  </si>
  <si>
    <t>Enter Minimum Age:</t>
  </si>
  <si>
    <t>Enter Gender:</t>
  </si>
  <si>
    <t>Total Salary (Age &gt;= X AND Gender):</t>
  </si>
  <si>
    <t>Formula used:
=SUMPRODUCT((Data!$D$2:$D$11&gt;=$B$7)*(Data!$J$2:$J$11=$B$8)*Data!$C$2:$C$11)
Each condition becomes an array of TRUE/FALSE (1/0); multiplying them together keeps only rows where BOTH are true, then multiplies by Salary and adds it all up - no helper columns needed.</t>
  </si>
  <si>
    <t>Case19_MaxMin_Employee: Find highest/lowest paid employee (INDEX + MATCH + MAX/MIN)</t>
  </si>
  <si>
    <t>No input needed. Automatically identify the highest salary, and the Name of the highest-paid and lowest-paid employees.</t>
  </si>
  <si>
    <t>Highest Salary in Company:</t>
  </si>
  <si>
    <t>Name of Highest Paid Employee:</t>
  </si>
  <si>
    <t>Name of Lowest Paid Employee:</t>
  </si>
  <si>
    <t>Formula used:
=INDEX(Data!$A$2:$A$11,MATCH(MAX(Data!$C$2:$C$11),Data!$C$2:$C$11,0))
MATCH finds the row position of the maximum salary; INDEX returns the Name at that row.</t>
  </si>
  <si>
    <t>Case20_RunningTotal: Cumulative / running total of salaries</t>
  </si>
  <si>
    <t>Build a running (cumulative) total of Salary as you go down the employee list, row by row.</t>
  </si>
  <si>
    <t>Cumulative Total</t>
  </si>
  <si>
    <t>Formula used (first row): =B8
Every row after: =C(previous row)+B(current row)
Each cumulative cell adds the current salary to the running total above it.</t>
  </si>
  <si>
    <t>Case21_AgeBracket: Count employees within an Age range (COUNTIFS between two values)</t>
  </si>
  <si>
    <t>Type a minimum and maximum Age. Count how many employees fall within that age bracket (inclusive).</t>
  </si>
  <si>
    <t>Enter Maximum Age:</t>
  </si>
  <si>
    <t>Employees in Age Range:</t>
  </si>
  <si>
    <t>Formula used:
=COUNTIFS(Data!$D$2:$D$11,"&gt;="&amp;$B$7,Data!$D$2:$D$11,"&lt;="&amp;$B$8)
COUNTIFS applies two conditions on the SAME range (Age) - lower bound and upper bound - to count everyone falling inside that bracket.</t>
  </si>
  <si>
    <t>Case22_TextCasing: Standardize text casing (PROPER, UPPER, LOWER)</t>
  </si>
  <si>
    <t>Type a Name in any random case (e.g. 'arjun nair'). Convert it to Proper Case, UPPER CASE, and lower case, then check whether the Proper Case version exists in the Data sheet.</t>
  </si>
  <si>
    <t>Enter Name (any case):</t>
  </si>
  <si>
    <t>arjun nair</t>
  </si>
  <si>
    <t>Proper Case:</t>
  </si>
  <si>
    <t>UPPER CASE:</t>
  </si>
  <si>
    <t>lower case:</t>
  </si>
  <si>
    <t>Does this Name (in Proper Case) exist in Data?:</t>
  </si>
  <si>
    <t>Formulas used:
=PROPER($B$7)  =UPPER($B$7)  =LOWER($B$7)
PROPER capitalizes the first letter of each word - useful for standardizing messy text entry before matching it against the Data sheet.</t>
  </si>
  <si>
    <t>isha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</si>
</sst>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0" x14ac:knownFonts="1">
    <font>
      <sz val="11"/>
      <color theme="1"/>
      <name val="Calibri"/>
      <family val="2"/>
      <charset val="1"/>
    </font>
    <font>
      <b/>
      <sz val="11"/>
      <color rgb="FFFFFFFF"/>
      <name val="Arial"/>
      <charset val="1"/>
    </font>
    <font>
      <sz val="11"/>
      <name val="Arial"/>
      <charset val="1"/>
    </font>
    <font>
      <b/>
      <sz val="14"/>
      <color rgb="FFFFFFFF"/>
      <name val="Arial"/>
      <charset val="1"/>
    </font>
    <font>
      <u/>
      <sz val="11"/>
      <color rgb="FF0563C1"/>
      <name val="Arial"/>
      <charset val="1"/>
    </font>
    <font>
      <b/>
      <sz val="11"/>
      <name val="Arial"/>
      <charset val="1"/>
    </font>
    <font>
      <i/>
      <sz val="11"/>
      <color rgb="FF1F4E78"/>
      <name val="Arial"/>
      <charset val="1"/>
    </font>
    <font>
      <b/>
      <sz val="11"/>
      <color rgb="FF006100"/>
      <name val="Arial"/>
      <charset val="1"/>
    </font>
    <font>
      <i/>
      <sz val="10"/>
      <color rgb="FF7F7F7F"/>
      <name val="Arial"/>
      <charset val="1"/>
    </font>
    <font>
      <sz val="18"/>
      <color theme="1"/>
      <name val="Calibri"/>
      <family val="2"/>
    </font>
  </fonts>
  <fills count="6">
    <fill>
      <patternFill patternType="none"/>
    </fill>
    <fill>
      <patternFill patternType="gray125"/>
    </fill>
    <fill>
      <patternFill patternType="solid">
        <fgColor rgb="FF4472C4"/>
        <bgColor rgb="FF666699"/>
      </patternFill>
    </fill>
    <fill>
      <patternFill patternType="solid">
        <fgColor rgb="FF1F4E78"/>
        <bgColor rgb="FF003366"/>
      </patternFill>
    </fill>
    <fill>
      <patternFill patternType="solid">
        <fgColor rgb="FFFFFF00"/>
        <bgColor rgb="FFFFFF00"/>
      </patternFill>
    </fill>
    <fill>
      <patternFill patternType="solid">
        <fgColor rgb="FFE2EFDA"/>
        <bgColor rgb="FFFFFF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3">
    <xf numFmtId="0" fontId="0" fillId="0" borderId="0" xfId="0"/>
    <xf numFmtId="0" fontId="7" fillId="5" borderId="0" xfId="0" applyFont="1" applyFill="1"/>
    <xf numFmtId="0" fontId="8" fillId="0" borderId="0" xfId="0" applyFont="1" applyAlignment="1">
      <alignment vertical="top" wrapText="1"/>
    </xf>
    <xf numFmtId="0" fontId="6" fillId="0" borderId="0" xfId="0" applyFont="1" applyAlignment="1">
      <alignment vertical="top" wrapText="1"/>
    </xf>
    <xf numFmtId="0" fontId="3" fillId="3" borderId="0" xfId="0" applyFont="1" applyFill="1" applyAlignment="1">
      <alignment horizontal="lef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xf>
    <xf numFmtId="3" fontId="2" fillId="0" borderId="1" xfId="0" applyNumberFormat="1" applyFont="1" applyBorder="1" applyAlignment="1">
      <alignment horizontal="center"/>
    </xf>
    <xf numFmtId="164" fontId="2" fillId="0" borderId="1" xfId="0" applyNumberFormat="1" applyFont="1" applyBorder="1" applyAlignment="1">
      <alignment horizontal="center"/>
    </xf>
    <xf numFmtId="9" fontId="2" fillId="0" borderId="1" xfId="0" applyNumberFormat="1" applyFont="1" applyBorder="1" applyAlignment="1">
      <alignment horizontal="center"/>
    </xf>
    <xf numFmtId="0" fontId="1" fillId="2" borderId="0" xfId="0" applyFont="1" applyFill="1" applyAlignment="1">
      <alignment horizontal="center"/>
    </xf>
    <xf numFmtId="0" fontId="2" fillId="0" borderId="0" xfId="0" applyFont="1"/>
    <xf numFmtId="0" fontId="4" fillId="0" borderId="0" xfId="0" applyFont="1"/>
    <xf numFmtId="0" fontId="2" fillId="0" borderId="0" xfId="0" applyFont="1" applyAlignment="1">
      <alignment wrapText="1"/>
    </xf>
    <xf numFmtId="0" fontId="5" fillId="0" borderId="0" xfId="0" applyFont="1"/>
    <xf numFmtId="0" fontId="2" fillId="4" borderId="0" xfId="0" applyFont="1" applyFill="1"/>
    <xf numFmtId="0" fontId="7" fillId="5" borderId="0" xfId="0" applyFont="1" applyFill="1"/>
    <xf numFmtId="3" fontId="7" fillId="5" borderId="0" xfId="0" applyNumberFormat="1" applyFont="1" applyFill="1"/>
    <xf numFmtId="164" fontId="7" fillId="5" borderId="0" xfId="0" applyNumberFormat="1" applyFont="1" applyFill="1"/>
    <xf numFmtId="9" fontId="7" fillId="5" borderId="0" xfId="0" applyNumberFormat="1" applyFont="1" applyFill="1"/>
    <xf numFmtId="9" fontId="0" fillId="0" borderId="0" xfId="0" applyNumberFormat="1"/>
    <xf numFmtId="3" fontId="7" fillId="0" borderId="0" xfId="0" applyNumberFormat="1" applyFont="1"/>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7F7F7F"/>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practice.xlsx" TargetMode="External"/><Relationship Id="rId13" Type="http://schemas.openxmlformats.org/officeDocument/2006/relationships/hyperlink" Target="practice.xlsx" TargetMode="External"/><Relationship Id="rId18" Type="http://schemas.openxmlformats.org/officeDocument/2006/relationships/hyperlink" Target="practice.xlsx" TargetMode="External"/><Relationship Id="rId3" Type="http://schemas.openxmlformats.org/officeDocument/2006/relationships/hyperlink" Target="practice.xlsx" TargetMode="External"/><Relationship Id="rId21" Type="http://schemas.openxmlformats.org/officeDocument/2006/relationships/hyperlink" Target="practice.xlsx" TargetMode="External"/><Relationship Id="rId7" Type="http://schemas.openxmlformats.org/officeDocument/2006/relationships/hyperlink" Target="practice.xlsx" TargetMode="External"/><Relationship Id="rId12" Type="http://schemas.openxmlformats.org/officeDocument/2006/relationships/hyperlink" Target="practice.xlsx" TargetMode="External"/><Relationship Id="rId17" Type="http://schemas.openxmlformats.org/officeDocument/2006/relationships/hyperlink" Target="practice.xlsx" TargetMode="External"/><Relationship Id="rId2" Type="http://schemas.openxmlformats.org/officeDocument/2006/relationships/hyperlink" Target="practice.xlsx" TargetMode="External"/><Relationship Id="rId16" Type="http://schemas.openxmlformats.org/officeDocument/2006/relationships/hyperlink" Target="practice.xlsx" TargetMode="External"/><Relationship Id="rId20" Type="http://schemas.openxmlformats.org/officeDocument/2006/relationships/hyperlink" Target="practice.xlsx" TargetMode="External"/><Relationship Id="rId1" Type="http://schemas.openxmlformats.org/officeDocument/2006/relationships/hyperlink" Target="practice.xlsx" TargetMode="External"/><Relationship Id="rId6" Type="http://schemas.openxmlformats.org/officeDocument/2006/relationships/hyperlink" Target="practice.xlsx" TargetMode="External"/><Relationship Id="rId11" Type="http://schemas.openxmlformats.org/officeDocument/2006/relationships/hyperlink" Target="practice.xlsx" TargetMode="External"/><Relationship Id="rId5" Type="http://schemas.openxmlformats.org/officeDocument/2006/relationships/hyperlink" Target="practice.xlsx" TargetMode="External"/><Relationship Id="rId15" Type="http://schemas.openxmlformats.org/officeDocument/2006/relationships/hyperlink" Target="practice.xlsx" TargetMode="External"/><Relationship Id="rId23" Type="http://schemas.openxmlformats.org/officeDocument/2006/relationships/hyperlink" Target="practice.xlsx" TargetMode="External"/><Relationship Id="rId10" Type="http://schemas.openxmlformats.org/officeDocument/2006/relationships/hyperlink" Target="practice.xlsx" TargetMode="External"/><Relationship Id="rId19" Type="http://schemas.openxmlformats.org/officeDocument/2006/relationships/hyperlink" Target="practice.xlsx" TargetMode="External"/><Relationship Id="rId4" Type="http://schemas.openxmlformats.org/officeDocument/2006/relationships/hyperlink" Target="practice.xlsx" TargetMode="External"/><Relationship Id="rId9" Type="http://schemas.openxmlformats.org/officeDocument/2006/relationships/hyperlink" Target="practice.xlsx" TargetMode="External"/><Relationship Id="rId14" Type="http://schemas.openxmlformats.org/officeDocument/2006/relationships/hyperlink" Target="practice.xlsx" TargetMode="External"/><Relationship Id="rId22" Type="http://schemas.openxmlformats.org/officeDocument/2006/relationships/hyperlink" Target="practice.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zoomScaleNormal="100" workbookViewId="0">
      <pane ySplit="1" topLeftCell="A2" activePane="bottomLeft" state="frozen"/>
      <selection pane="bottomLeft" activeCell="C7" sqref="C7"/>
    </sheetView>
  </sheetViews>
  <sheetFormatPr defaultColWidth="8.5703125" defaultRowHeight="15" x14ac:dyDescent="0.25"/>
  <cols>
    <col min="1" max="1" width="16" customWidth="1"/>
    <col min="2" max="2" width="12" customWidth="1"/>
    <col min="3" max="3" width="10" customWidth="1"/>
    <col min="4" max="4" width="6" customWidth="1"/>
    <col min="5" max="5" width="12" customWidth="1"/>
    <col min="6" max="6" width="14" customWidth="1"/>
    <col min="7" max="7" width="10" customWidth="1"/>
    <col min="8" max="8" width="16" customWidth="1"/>
    <col min="9" max="9" width="12" customWidth="1"/>
    <col min="10" max="10" width="8" customWidth="1"/>
  </cols>
  <sheetData>
    <row r="1" spans="1:10" ht="30" x14ac:dyDescent="0.25">
      <c r="A1" s="5" t="s">
        <v>0</v>
      </c>
      <c r="B1" s="5" t="s">
        <v>1</v>
      </c>
      <c r="C1" s="5" t="s">
        <v>2</v>
      </c>
      <c r="D1" s="5" t="s">
        <v>3</v>
      </c>
      <c r="E1" s="5" t="s">
        <v>4</v>
      </c>
      <c r="F1" s="5" t="s">
        <v>5</v>
      </c>
      <c r="G1" s="5" t="s">
        <v>6</v>
      </c>
      <c r="H1" s="5" t="s">
        <v>7</v>
      </c>
      <c r="I1" s="5" t="s">
        <v>8</v>
      </c>
      <c r="J1" s="5" t="s">
        <v>9</v>
      </c>
    </row>
    <row r="2" spans="1:10" x14ac:dyDescent="0.25">
      <c r="A2" s="6" t="s">
        <v>10</v>
      </c>
      <c r="B2" s="6" t="s">
        <v>11</v>
      </c>
      <c r="C2" s="7">
        <v>62000</v>
      </c>
      <c r="D2" s="6">
        <v>29</v>
      </c>
      <c r="E2" s="6" t="s">
        <v>12</v>
      </c>
      <c r="F2" s="8">
        <v>43628</v>
      </c>
      <c r="G2" s="9">
        <v>0.1</v>
      </c>
      <c r="H2" s="6">
        <v>6</v>
      </c>
      <c r="I2" s="6">
        <v>4</v>
      </c>
      <c r="J2" s="6" t="s">
        <v>13</v>
      </c>
    </row>
    <row r="3" spans="1:10" x14ac:dyDescent="0.25">
      <c r="A3" s="6" t="s">
        <v>14</v>
      </c>
      <c r="B3" s="6" t="s">
        <v>15</v>
      </c>
      <c r="C3" s="7">
        <v>78000</v>
      </c>
      <c r="D3" s="6">
        <v>31</v>
      </c>
      <c r="E3" s="6" t="s">
        <v>16</v>
      </c>
      <c r="F3" s="8">
        <v>42798</v>
      </c>
      <c r="G3" s="9">
        <v>0.12</v>
      </c>
      <c r="H3" s="6">
        <v>8</v>
      </c>
      <c r="I3" s="6">
        <v>5</v>
      </c>
      <c r="J3" s="6" t="s">
        <v>17</v>
      </c>
    </row>
    <row r="4" spans="1:10" x14ac:dyDescent="0.25">
      <c r="A4" s="6" t="s">
        <v>18</v>
      </c>
      <c r="B4" s="6" t="s">
        <v>19</v>
      </c>
      <c r="C4" s="7">
        <v>45000</v>
      </c>
      <c r="D4" s="6">
        <v>26</v>
      </c>
      <c r="E4" s="6" t="s">
        <v>12</v>
      </c>
      <c r="F4" s="8">
        <v>44216</v>
      </c>
      <c r="G4" s="9">
        <v>0.08</v>
      </c>
      <c r="H4" s="6">
        <v>3</v>
      </c>
      <c r="I4" s="6">
        <v>3</v>
      </c>
      <c r="J4" s="6" t="s">
        <v>13</v>
      </c>
    </row>
    <row r="5" spans="1:10" x14ac:dyDescent="0.25">
      <c r="A5" s="6" t="s">
        <v>20</v>
      </c>
      <c r="B5" s="6" t="s">
        <v>21</v>
      </c>
      <c r="C5" s="7">
        <v>85000</v>
      </c>
      <c r="D5" s="6">
        <v>35</v>
      </c>
      <c r="E5" s="6" t="s">
        <v>22</v>
      </c>
      <c r="F5" s="8">
        <v>41897</v>
      </c>
      <c r="G5" s="9">
        <v>0.15</v>
      </c>
      <c r="H5" s="6">
        <v>12</v>
      </c>
      <c r="I5" s="6">
        <v>5</v>
      </c>
      <c r="J5" s="6" t="s">
        <v>17</v>
      </c>
    </row>
    <row r="6" spans="1:10" x14ac:dyDescent="0.25">
      <c r="A6" s="6" t="s">
        <v>23</v>
      </c>
      <c r="B6" s="6" t="s">
        <v>15</v>
      </c>
      <c r="C6" s="7">
        <v>67000</v>
      </c>
      <c r="D6" s="6">
        <v>28</v>
      </c>
      <c r="E6" s="6" t="s">
        <v>16</v>
      </c>
      <c r="F6" s="8">
        <v>44013</v>
      </c>
      <c r="G6" s="9">
        <v>0.09</v>
      </c>
      <c r="H6" s="6">
        <v>5</v>
      </c>
      <c r="I6" s="6">
        <v>4</v>
      </c>
      <c r="J6" s="6" t="s">
        <v>13</v>
      </c>
    </row>
    <row r="7" spans="1:10" x14ac:dyDescent="0.25">
      <c r="A7" s="6" t="s">
        <v>24</v>
      </c>
      <c r="B7" s="6" t="s">
        <v>11</v>
      </c>
      <c r="C7" s="7">
        <v>51000</v>
      </c>
      <c r="D7" s="6">
        <v>24</v>
      </c>
      <c r="E7" s="6" t="s">
        <v>22</v>
      </c>
      <c r="F7" s="8">
        <v>44874</v>
      </c>
      <c r="G7" s="9">
        <v>0.06</v>
      </c>
      <c r="H7" s="6">
        <v>2</v>
      </c>
      <c r="I7" s="6">
        <v>3</v>
      </c>
      <c r="J7" s="6" t="s">
        <v>17</v>
      </c>
    </row>
    <row r="8" spans="1:10" x14ac:dyDescent="0.25">
      <c r="A8" s="6" t="s">
        <v>25</v>
      </c>
      <c r="B8" s="6" t="s">
        <v>26</v>
      </c>
      <c r="C8" s="7">
        <v>59000</v>
      </c>
      <c r="D8" s="6">
        <v>33</v>
      </c>
      <c r="E8" s="6" t="s">
        <v>12</v>
      </c>
      <c r="F8" s="8">
        <v>42478</v>
      </c>
      <c r="G8" s="9">
        <v>0.1</v>
      </c>
      <c r="H8" s="6">
        <v>9</v>
      </c>
      <c r="I8" s="6">
        <v>4</v>
      </c>
      <c r="J8" s="6" t="s">
        <v>13</v>
      </c>
    </row>
    <row r="9" spans="1:10" x14ac:dyDescent="0.25">
      <c r="A9" s="6" t="s">
        <v>27</v>
      </c>
      <c r="B9" s="6" t="s">
        <v>19</v>
      </c>
      <c r="C9" s="7">
        <v>48000</v>
      </c>
      <c r="D9" s="6">
        <v>27</v>
      </c>
      <c r="E9" s="6" t="s">
        <v>16</v>
      </c>
      <c r="F9" s="8">
        <v>43886</v>
      </c>
      <c r="G9" s="9">
        <v>7.0000000000000007E-2</v>
      </c>
      <c r="H9" s="6">
        <v>4</v>
      </c>
      <c r="I9" s="6">
        <v>3</v>
      </c>
      <c r="J9" s="6" t="s">
        <v>17</v>
      </c>
    </row>
    <row r="10" spans="1:10" x14ac:dyDescent="0.25">
      <c r="A10" s="6" t="s">
        <v>28</v>
      </c>
      <c r="B10" s="6" t="s">
        <v>21</v>
      </c>
      <c r="C10" s="7">
        <v>91000</v>
      </c>
      <c r="D10" s="6">
        <v>40</v>
      </c>
      <c r="E10" s="6" t="s">
        <v>22</v>
      </c>
      <c r="F10" s="8">
        <v>41151</v>
      </c>
      <c r="G10" s="9">
        <v>0.14000000000000001</v>
      </c>
      <c r="H10" s="6">
        <v>13</v>
      </c>
      <c r="I10" s="6">
        <v>5</v>
      </c>
      <c r="J10" s="6" t="s">
        <v>13</v>
      </c>
    </row>
    <row r="11" spans="1:10" x14ac:dyDescent="0.25">
      <c r="A11" s="6" t="s">
        <v>29</v>
      </c>
      <c r="B11" s="6" t="s">
        <v>11</v>
      </c>
      <c r="C11" s="7">
        <v>55000</v>
      </c>
      <c r="D11" s="6">
        <v>25</v>
      </c>
      <c r="E11" s="6" t="s">
        <v>12</v>
      </c>
      <c r="F11" s="8">
        <v>44474</v>
      </c>
      <c r="G11" s="9">
        <v>0.08</v>
      </c>
      <c r="H11" s="6">
        <v>3</v>
      </c>
      <c r="I11" s="6">
        <v>2</v>
      </c>
      <c r="J11" s="6"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zoomScaleNormal="100" workbookViewId="0">
      <pane ySplit="3" topLeftCell="A4" activePane="bottomLeft" state="frozen"/>
      <selection pane="bottomLeft" activeCell="B2" sqref="B2"/>
    </sheetView>
  </sheetViews>
  <sheetFormatPr defaultColWidth="8.5703125" defaultRowHeight="15" x14ac:dyDescent="0.25"/>
  <cols>
    <col min="1" max="1" width="8" customWidth="1"/>
    <col min="2" max="2" width="40" customWidth="1"/>
    <col min="3" max="3" width="55" customWidth="1"/>
  </cols>
  <sheetData>
    <row r="1" spans="1:3" ht="25.5" customHeight="1" x14ac:dyDescent="0.25">
      <c r="A1" s="4" t="s">
        <v>30</v>
      </c>
      <c r="B1" s="4"/>
      <c r="C1" s="4"/>
    </row>
    <row r="3" spans="1:3" x14ac:dyDescent="0.25">
      <c r="A3" s="10" t="s">
        <v>31</v>
      </c>
      <c r="B3" s="10" t="s">
        <v>32</v>
      </c>
      <c r="C3" s="10" t="s">
        <v>33</v>
      </c>
    </row>
    <row r="4" spans="1:3" ht="29.25" x14ac:dyDescent="0.25">
      <c r="A4" s="11">
        <v>1</v>
      </c>
      <c r="B4" s="12" t="s">
        <v>34</v>
      </c>
      <c r="C4" s="13" t="s">
        <v>35</v>
      </c>
    </row>
    <row r="5" spans="1:3" x14ac:dyDescent="0.25">
      <c r="A5" s="11">
        <v>2</v>
      </c>
      <c r="B5" s="12" t="s">
        <v>36</v>
      </c>
      <c r="C5" s="13" t="s">
        <v>37</v>
      </c>
    </row>
    <row r="6" spans="1:3" x14ac:dyDescent="0.25">
      <c r="A6" s="11">
        <v>3</v>
      </c>
      <c r="B6" s="12" t="s">
        <v>38</v>
      </c>
      <c r="C6" s="13" t="s">
        <v>39</v>
      </c>
    </row>
    <row r="7" spans="1:3" x14ac:dyDescent="0.25">
      <c r="A7" s="11">
        <v>4</v>
      </c>
      <c r="B7" s="12" t="s">
        <v>40</v>
      </c>
      <c r="C7" s="13" t="s">
        <v>41</v>
      </c>
    </row>
    <row r="8" spans="1:3" x14ac:dyDescent="0.25">
      <c r="A8" s="11">
        <v>5</v>
      </c>
      <c r="B8" s="12" t="s">
        <v>42</v>
      </c>
      <c r="C8" s="13" t="s">
        <v>43</v>
      </c>
    </row>
    <row r="9" spans="1:3" x14ac:dyDescent="0.25">
      <c r="A9" s="11">
        <v>6</v>
      </c>
      <c r="B9" s="12" t="s">
        <v>44</v>
      </c>
      <c r="C9" s="13" t="s">
        <v>45</v>
      </c>
    </row>
    <row r="10" spans="1:3" x14ac:dyDescent="0.25">
      <c r="A10" s="11">
        <v>7</v>
      </c>
      <c r="B10" s="12" t="s">
        <v>46</v>
      </c>
      <c r="C10" s="13" t="s">
        <v>47</v>
      </c>
    </row>
    <row r="11" spans="1:3" x14ac:dyDescent="0.25">
      <c r="A11" s="11">
        <v>8</v>
      </c>
      <c r="B11" s="12" t="s">
        <v>48</v>
      </c>
      <c r="C11" s="13" t="s">
        <v>49</v>
      </c>
    </row>
    <row r="12" spans="1:3" x14ac:dyDescent="0.25">
      <c r="A12" s="11">
        <v>9</v>
      </c>
      <c r="B12" s="12" t="s">
        <v>50</v>
      </c>
      <c r="C12" s="13" t="s">
        <v>51</v>
      </c>
    </row>
    <row r="13" spans="1:3" x14ac:dyDescent="0.25">
      <c r="A13" s="11">
        <v>10</v>
      </c>
      <c r="B13" s="12" t="s">
        <v>52</v>
      </c>
      <c r="C13" s="13" t="s">
        <v>53</v>
      </c>
    </row>
    <row r="14" spans="1:3" x14ac:dyDescent="0.25">
      <c r="A14" s="11">
        <v>11</v>
      </c>
      <c r="B14" s="12" t="s">
        <v>54</v>
      </c>
      <c r="C14" s="13" t="s">
        <v>55</v>
      </c>
    </row>
    <row r="15" spans="1:3" x14ac:dyDescent="0.25">
      <c r="A15" s="11">
        <v>12</v>
      </c>
      <c r="B15" s="12" t="s">
        <v>56</v>
      </c>
      <c r="C15" s="13" t="s">
        <v>57</v>
      </c>
    </row>
    <row r="16" spans="1:3" x14ac:dyDescent="0.25">
      <c r="A16" s="11">
        <v>13</v>
      </c>
      <c r="B16" s="12" t="s">
        <v>58</v>
      </c>
      <c r="C16" s="13" t="s">
        <v>59</v>
      </c>
    </row>
    <row r="17" spans="1:3" x14ac:dyDescent="0.25">
      <c r="A17" s="11">
        <v>14</v>
      </c>
      <c r="B17" s="12" t="s">
        <v>60</v>
      </c>
      <c r="C17" s="13" t="s">
        <v>61</v>
      </c>
    </row>
    <row r="18" spans="1:3" x14ac:dyDescent="0.25">
      <c r="A18" s="11">
        <v>15</v>
      </c>
      <c r="B18" s="12" t="s">
        <v>62</v>
      </c>
      <c r="C18" s="13" t="s">
        <v>63</v>
      </c>
    </row>
    <row r="19" spans="1:3" x14ac:dyDescent="0.25">
      <c r="A19" s="11">
        <v>16</v>
      </c>
      <c r="B19" s="12" t="s">
        <v>64</v>
      </c>
      <c r="C19" s="13" t="s">
        <v>65</v>
      </c>
    </row>
    <row r="20" spans="1:3" x14ac:dyDescent="0.25">
      <c r="A20" s="11">
        <v>17</v>
      </c>
      <c r="B20" s="12" t="s">
        <v>66</v>
      </c>
      <c r="C20" s="13" t="s">
        <v>67</v>
      </c>
    </row>
    <row r="21" spans="1:3" x14ac:dyDescent="0.25">
      <c r="A21" s="11">
        <v>18</v>
      </c>
      <c r="B21" s="12" t="s">
        <v>68</v>
      </c>
      <c r="C21" s="13" t="s">
        <v>69</v>
      </c>
    </row>
    <row r="22" spans="1:3" x14ac:dyDescent="0.25">
      <c r="A22" s="11">
        <v>19</v>
      </c>
      <c r="B22" s="12" t="s">
        <v>70</v>
      </c>
      <c r="C22" s="13" t="s">
        <v>71</v>
      </c>
    </row>
    <row r="23" spans="1:3" x14ac:dyDescent="0.25">
      <c r="A23" s="11">
        <v>20</v>
      </c>
      <c r="B23" s="12" t="s">
        <v>72</v>
      </c>
      <c r="C23" s="13" t="s">
        <v>73</v>
      </c>
    </row>
    <row r="24" spans="1:3" x14ac:dyDescent="0.25">
      <c r="A24" s="11">
        <v>21</v>
      </c>
      <c r="B24" s="12" t="s">
        <v>74</v>
      </c>
      <c r="C24" s="13" t="s">
        <v>75</v>
      </c>
    </row>
    <row r="25" spans="1:3" x14ac:dyDescent="0.25">
      <c r="A25" s="11">
        <v>22</v>
      </c>
      <c r="B25" s="12" t="s">
        <v>76</v>
      </c>
      <c r="C25" s="13" t="s">
        <v>77</v>
      </c>
    </row>
    <row r="26" spans="1:3" x14ac:dyDescent="0.25">
      <c r="A26" s="11">
        <v>23</v>
      </c>
      <c r="B26" s="12" t="s">
        <v>78</v>
      </c>
      <c r="C26" s="13" t="s">
        <v>79</v>
      </c>
    </row>
  </sheetData>
  <mergeCells count="1">
    <mergeCell ref="A1:C1"/>
  </mergeCells>
  <hyperlinks>
    <hyperlink ref="B4" r:id="rId1" location="'Data'!A1" xr:uid="{00000000-0004-0000-0100-000000000000}"/>
    <hyperlink ref="B5" r:id="rId2" location="'Case01_LookupAllFields'!A1" xr:uid="{00000000-0004-0000-0100-000001000000}"/>
    <hyperlink ref="B6" r:id="rId3" location="'Case02_ListAllMatches'!A1" xr:uid="{00000000-0004-0000-0100-000002000000}"/>
    <hyperlink ref="B7" r:id="rId4" location="'Case03_SUMIF'!A1" xr:uid="{00000000-0004-0000-0100-000003000000}"/>
    <hyperlink ref="B8" r:id="rId5" location="'Case04_COUNTIF'!A1" xr:uid="{00000000-0004-0000-0100-000004000000}"/>
    <hyperlink ref="B9" r:id="rId6" location="'Case05_AVERAGEIF'!A1" xr:uid="{00000000-0004-0000-0100-000005000000}"/>
    <hyperlink ref="B10" r:id="rId7" location="'Case06_SUMIFS'!A1" xr:uid="{00000000-0004-0000-0100-000006000000}"/>
    <hyperlink ref="B11" r:id="rId8" location="'Case07_COUNTIFS'!A1" xr:uid="{00000000-0004-0000-0100-000007000000}"/>
    <hyperlink ref="B12" r:id="rId9" location="'Case08_NestedIF'!A1" xr:uid="{00000000-0004-0000-0100-000008000000}"/>
    <hyperlink ref="B13" r:id="rId10" location="'Case09_VLOOKUP_ApproxMatch'!A1" xr:uid="{00000000-0004-0000-0100-000009000000}"/>
    <hyperlink ref="B14" r:id="rId11" location="'Case10_RANK'!A1" xr:uid="{00000000-0004-0000-0100-00000A000000}"/>
    <hyperlink ref="B15" r:id="rId12" location="'Case11_LARGE_SMALL'!A1" xr:uid="{00000000-0004-0000-0100-00000B000000}"/>
    <hyperlink ref="B16" r:id="rId13" location="'Case12_IFERROR_MATCH'!A1" xr:uid="{00000000-0004-0000-0100-00000C000000}"/>
    <hyperlink ref="B17" r:id="rId14" location="'Case13_TEXTJOIN'!A1" xr:uid="{00000000-0004-0000-0100-00000D000000}"/>
    <hyperlink ref="B18" r:id="rId15" location="'Case14_TextFunctions'!A1" xr:uid="{00000000-0004-0000-0100-00000E000000}"/>
    <hyperlink ref="B19" r:id="rId16" location="'Case15_DATE_Functions'!A1" xr:uid="{00000000-0004-0000-0100-00000F000000}"/>
    <hyperlink ref="B20" r:id="rId17" location="'Case16_TwoWayLookup'!A1" xr:uid="{00000000-0004-0000-0100-000010000000}"/>
    <hyperlink ref="B21" r:id="rId18" location="'Case17_DuplicateCheck'!A1" xr:uid="{00000000-0004-0000-0100-000011000000}"/>
    <hyperlink ref="B22" r:id="rId19" location="'Case18_SUMPRODUCT'!A1" xr:uid="{00000000-0004-0000-0100-000012000000}"/>
    <hyperlink ref="B23" r:id="rId20" location="'Case19_MaxMin_Employee'!A1" xr:uid="{00000000-0004-0000-0100-000013000000}"/>
    <hyperlink ref="B24" r:id="rId21" location="'Case20_RunningTotal'!A1" xr:uid="{00000000-0004-0000-0100-000014000000}"/>
    <hyperlink ref="B25" r:id="rId22" location="'Case21_AgeBracket'!A1" xr:uid="{00000000-0004-0000-0100-000015000000}"/>
    <hyperlink ref="B26" r:id="rId23" location="'Case22_TextCasing'!A1" xr:uid="{00000000-0004-0000-0100-000016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zoomScaleNormal="100" workbookViewId="0">
      <selection activeCell="B8" sqref="B8"/>
    </sheetView>
  </sheetViews>
  <sheetFormatPr defaultColWidth="8.5703125" defaultRowHeight="15" x14ac:dyDescent="0.25"/>
  <cols>
    <col min="1" max="6" width="22" customWidth="1"/>
  </cols>
  <sheetData>
    <row r="1" spans="1:6" ht="25.5" customHeight="1" x14ac:dyDescent="0.25">
      <c r="A1" s="4" t="s">
        <v>80</v>
      </c>
      <c r="B1" s="4"/>
      <c r="C1" s="4"/>
      <c r="D1" s="4"/>
      <c r="E1" s="4"/>
      <c r="F1" s="4"/>
    </row>
    <row r="3" spans="1:6" ht="15" customHeight="1" x14ac:dyDescent="0.25">
      <c r="A3" s="14" t="s">
        <v>81</v>
      </c>
      <c r="B3" s="3" t="s">
        <v>82</v>
      </c>
      <c r="C3" s="3"/>
      <c r="D3" s="3"/>
      <c r="E3" s="3"/>
      <c r="F3" s="3"/>
    </row>
    <row r="4" spans="1:6" x14ac:dyDescent="0.25">
      <c r="B4" s="3"/>
      <c r="C4" s="3"/>
      <c r="D4" s="3"/>
      <c r="E4" s="3"/>
      <c r="F4" s="3"/>
    </row>
    <row r="5" spans="1:6" x14ac:dyDescent="0.25">
      <c r="B5" s="3"/>
      <c r="C5" s="3"/>
      <c r="D5" s="3"/>
      <c r="E5" s="3"/>
      <c r="F5" s="3"/>
    </row>
    <row r="7" spans="1:6" x14ac:dyDescent="0.25">
      <c r="A7" s="14" t="s">
        <v>83</v>
      </c>
      <c r="B7" s="15" t="s">
        <v>208</v>
      </c>
    </row>
    <row r="9" spans="1:6" x14ac:dyDescent="0.25">
      <c r="A9" s="14" t="s">
        <v>84</v>
      </c>
      <c r="B9" s="16" t="str">
        <f>INDEX(Data!B$2:B$11,MATCH($B$7,Data!$A$2:$A$11,0))</f>
        <v>Sales</v>
      </c>
    </row>
    <row r="10" spans="1:6" x14ac:dyDescent="0.25">
      <c r="A10" s="14" t="s">
        <v>85</v>
      </c>
      <c r="B10" s="17">
        <f>INDEX(Data!C$2:C$11,MATCH($B$7,Data!$A$2:$A$11,0))</f>
        <v>51000</v>
      </c>
    </row>
    <row r="11" spans="1:6" x14ac:dyDescent="0.25">
      <c r="A11" s="14" t="s">
        <v>86</v>
      </c>
      <c r="B11" s="16">
        <f>INDEX(Data!D$2:D$11,MATCH($B$7,Data!$A$2:$A$11,0))</f>
        <v>24</v>
      </c>
    </row>
    <row r="12" spans="1:6" x14ac:dyDescent="0.25">
      <c r="A12" s="14" t="s">
        <v>87</v>
      </c>
      <c r="B12" s="16" t="str">
        <f>INDEX(Data!E$2:E$11,MATCH($B$7,Data!$A$2:$A$11,0))</f>
        <v>Bangalore</v>
      </c>
    </row>
    <row r="13" spans="1:6" x14ac:dyDescent="0.25">
      <c r="A13" s="14" t="s">
        <v>88</v>
      </c>
      <c r="B13" s="18">
        <f>INDEX(Data!F$2:F$11,MATCH($B$7,Data!$A$2:$A$11,0))</f>
        <v>44874</v>
      </c>
    </row>
    <row r="14" spans="1:6" x14ac:dyDescent="0.25">
      <c r="A14" s="14" t="s">
        <v>89</v>
      </c>
      <c r="B14" s="19">
        <f>INDEX(Data!G$2:G$11,MATCH($B$7,Data!$A$2:$A$11,0))</f>
        <v>0.06</v>
      </c>
    </row>
    <row r="15" spans="1:6" x14ac:dyDescent="0.25">
      <c r="A15" s="14" t="s">
        <v>90</v>
      </c>
      <c r="B15" s="16">
        <f>INDEX(Data!H$2:H$11,MATCH($B$7,Data!$A$2:$A$11,0))</f>
        <v>2</v>
      </c>
    </row>
    <row r="16" spans="1:6" x14ac:dyDescent="0.25">
      <c r="A16" s="14" t="s">
        <v>91</v>
      </c>
      <c r="B16" s="16">
        <f>INDEX(Data!I$2:I$11,MATCH($B$7,Data!$A$2:$A$11,0))</f>
        <v>3</v>
      </c>
    </row>
    <row r="17" spans="1:6" x14ac:dyDescent="0.25">
      <c r="A17" s="14" t="s">
        <v>92</v>
      </c>
      <c r="B17" s="16" t="str">
        <f>INDEX(Data!J$2:J$11,MATCH($B$7,Data!$A$2:$A$11,0))</f>
        <v>F</v>
      </c>
    </row>
    <row r="19" spans="1:6" ht="15" customHeight="1" x14ac:dyDescent="0.25">
      <c r="A19" s="2" t="s">
        <v>93</v>
      </c>
      <c r="B19" s="2"/>
      <c r="C19" s="2"/>
      <c r="D19" s="2"/>
      <c r="E19" s="2"/>
      <c r="F19" s="2"/>
    </row>
    <row r="20" spans="1:6" x14ac:dyDescent="0.25">
      <c r="A20" s="2"/>
      <c r="B20" s="2"/>
      <c r="C20" s="2"/>
      <c r="D20" s="2"/>
      <c r="E20" s="2"/>
      <c r="F20" s="2"/>
    </row>
    <row r="21" spans="1:6" x14ac:dyDescent="0.25">
      <c r="A21" s="2"/>
      <c r="B21" s="2"/>
      <c r="C21" s="2"/>
      <c r="D21" s="2"/>
      <c r="E21" s="2"/>
      <c r="F21" s="2"/>
    </row>
  </sheetData>
  <mergeCells count="3">
    <mergeCell ref="A1:F1"/>
    <mergeCell ref="B3:F5"/>
    <mergeCell ref="A19:F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zoomScaleNormal="100" workbookViewId="0">
      <selection activeCell="B3" sqref="B3:F5"/>
    </sheetView>
  </sheetViews>
  <sheetFormatPr defaultColWidth="8.5703125" defaultRowHeight="15" x14ac:dyDescent="0.25"/>
  <cols>
    <col min="1" max="1" width="25.28515625" bestFit="1" customWidth="1"/>
    <col min="2" max="2" width="15" bestFit="1" customWidth="1"/>
    <col min="3" max="6" width="22" customWidth="1"/>
  </cols>
  <sheetData>
    <row r="1" spans="1:6" ht="25.5" customHeight="1" x14ac:dyDescent="0.25">
      <c r="A1" s="4" t="s">
        <v>94</v>
      </c>
      <c r="B1" s="4"/>
      <c r="C1" s="4"/>
      <c r="D1" s="4"/>
      <c r="E1" s="4"/>
      <c r="F1" s="4"/>
    </row>
    <row r="3" spans="1:6" ht="15" customHeight="1" x14ac:dyDescent="0.25">
      <c r="A3" s="14" t="s">
        <v>81</v>
      </c>
      <c r="B3" s="3" t="s">
        <v>95</v>
      </c>
      <c r="C3" s="3"/>
      <c r="D3" s="3"/>
      <c r="E3" s="3"/>
      <c r="F3" s="3"/>
    </row>
    <row r="4" spans="1:6" x14ac:dyDescent="0.25">
      <c r="B4" s="3"/>
      <c r="C4" s="3"/>
      <c r="D4" s="3"/>
      <c r="E4" s="3"/>
      <c r="F4" s="3"/>
    </row>
    <row r="5" spans="1:6" x14ac:dyDescent="0.25">
      <c r="B5" s="3"/>
      <c r="C5" s="3"/>
      <c r="D5" s="3"/>
      <c r="E5" s="3"/>
      <c r="F5" s="3"/>
    </row>
    <row r="7" spans="1:6" x14ac:dyDescent="0.25">
      <c r="A7" s="14" t="s">
        <v>96</v>
      </c>
      <c r="B7" s="15" t="s">
        <v>11</v>
      </c>
    </row>
    <row r="9" spans="1:6" x14ac:dyDescent="0.25">
      <c r="A9" s="14" t="s">
        <v>97</v>
      </c>
      <c r="B9" s="16" t="str">
        <f t="array" ref="B9">IFERROR(INDEX(Data!$A$2:$A$11,SMALL(IF(Data!$B$2:$B$11=$B$7,ROW(Data!$B$2:$B$11)-ROW(Data!$B$2)+1),1)),"")</f>
        <v>Aarav Sharma</v>
      </c>
    </row>
    <row r="10" spans="1:6" x14ac:dyDescent="0.25">
      <c r="B10" s="16" t="str">
        <f t="array" ref="B10">IFERROR(INDEX(Data!$A$2:$A$11,SMALL(IF(Data!$B$2:$B$11=$B$7,ROW(Data!$B$2:$B$11)-ROW(Data!$B$2)+1),2)),"")</f>
        <v>Isha Singh</v>
      </c>
    </row>
    <row r="11" spans="1:6" x14ac:dyDescent="0.25">
      <c r="B11" s="16" t="str">
        <f t="array" ref="B11">IFERROR(INDEX(Data!$A$2:$A$11,SMALL(IF(Data!$B$2:$B$11=$B$7,ROW(Data!$B$2:$B$11)-ROW(Data!$B$2)+1),3)),"")</f>
        <v>Divya Kapoor</v>
      </c>
    </row>
    <row r="12" spans="1:6" x14ac:dyDescent="0.25">
      <c r="B12" s="16" t="str">
        <f t="array" ref="B12">IFERROR(INDEX(Data!$A$2:$A$11,SMALL(IF(Data!$B$2:$B$11=$B$7,ROW(Data!$B$2:$B$11)-ROW(Data!$B$2)+1),4)),"")</f>
        <v/>
      </c>
    </row>
    <row r="13" spans="1:6" x14ac:dyDescent="0.25">
      <c r="B13" s="16" t="str">
        <f t="array" ref="B13">IFERROR(INDEX(Data!$A$2:$A$11,SMALL(IF(Data!$B$2:$B$11=$B$7,ROW(Data!$B$2:$B$11)-ROW(Data!$B$2)+1),5)),"")</f>
        <v/>
      </c>
    </row>
    <row r="14" spans="1:6" x14ac:dyDescent="0.25">
      <c r="B14" s="16" t="str">
        <f t="array" ref="B14">IFERROR(INDEX(Data!$A$2:$A$11,SMALL(IF(Data!$B$2:$B$11=$B$7,ROW(Data!$B$2:$B$11)-ROW(Data!$B$2)+1),6)),"")</f>
        <v/>
      </c>
    </row>
    <row r="15" spans="1:6" x14ac:dyDescent="0.25">
      <c r="B15" s="16" t="str">
        <f t="array" ref="B15">IFERROR(INDEX(Data!$A$2:$A$11,SMALL(IF(Data!$B$2:$B$11=$B$7,ROW(Data!$B$2:$B$11)-ROW(Data!$B$2)+1),7)),"")</f>
        <v/>
      </c>
    </row>
    <row r="16" spans="1:6" x14ac:dyDescent="0.25">
      <c r="B16" s="16" t="str">
        <f t="array" ref="B16">IFERROR(INDEX(Data!$A$2:$A$11,SMALL(IF(Data!$B$2:$B$11=$B$7,ROW(Data!$B$2:$B$11)-ROW(Data!$B$2)+1),8)),"")</f>
        <v/>
      </c>
    </row>
    <row r="17" spans="1:6" x14ac:dyDescent="0.25">
      <c r="B17" s="16" t="str">
        <f t="array" ref="B17">IFERROR(INDEX(Data!$A$2:$A$11,SMALL(IF(Data!$B$2:$B$11=$B$7,ROW(Data!$B$2:$B$11)-ROW(Data!$B$2)+1),9)),"")</f>
        <v/>
      </c>
    </row>
    <row r="18" spans="1:6" x14ac:dyDescent="0.25">
      <c r="B18" s="16" t="str">
        <f t="array" ref="B18">IFERROR(INDEX(Data!$A$2:$A$11,SMALL(IF(Data!$B$2:$B$11=$B$7,ROW(Data!$B$2:$B$11)-ROW(Data!$B$2)+1),10)),"")</f>
        <v/>
      </c>
    </row>
    <row r="20" spans="1:6" ht="15" customHeight="1" x14ac:dyDescent="0.25">
      <c r="A20" s="2" t="s">
        <v>98</v>
      </c>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sheetData>
  <mergeCells count="3">
    <mergeCell ref="A1:F1"/>
    <mergeCell ref="B3:F5"/>
    <mergeCell ref="A20:F2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selection activeCell="B9" sqref="B9"/>
    </sheetView>
  </sheetViews>
  <sheetFormatPr defaultColWidth="8.5703125" defaultRowHeight="15" x14ac:dyDescent="0.25"/>
  <cols>
    <col min="1" max="6" width="22" customWidth="1"/>
  </cols>
  <sheetData>
    <row r="1" spans="1:6" ht="25.5" customHeight="1" x14ac:dyDescent="0.25">
      <c r="A1" s="4" t="s">
        <v>99</v>
      </c>
      <c r="B1" s="4"/>
      <c r="C1" s="4"/>
      <c r="D1" s="4"/>
      <c r="E1" s="4"/>
      <c r="F1" s="4"/>
    </row>
    <row r="3" spans="1:6" ht="15" customHeight="1" x14ac:dyDescent="0.25">
      <c r="A3" s="14" t="s">
        <v>81</v>
      </c>
      <c r="B3" s="3" t="s">
        <v>100</v>
      </c>
      <c r="C3" s="3"/>
      <c r="D3" s="3"/>
      <c r="E3" s="3"/>
      <c r="F3" s="3"/>
    </row>
    <row r="4" spans="1:6" x14ac:dyDescent="0.25">
      <c r="B4" s="3"/>
      <c r="C4" s="3"/>
      <c r="D4" s="3"/>
      <c r="E4" s="3"/>
      <c r="F4" s="3"/>
    </row>
    <row r="5" spans="1:6" x14ac:dyDescent="0.25">
      <c r="B5" s="3"/>
      <c r="C5" s="3"/>
      <c r="D5" s="3"/>
      <c r="E5" s="3"/>
      <c r="F5" s="3"/>
    </row>
    <row r="7" spans="1:6" x14ac:dyDescent="0.25">
      <c r="A7" s="14" t="s">
        <v>101</v>
      </c>
      <c r="B7" s="15" t="s">
        <v>15</v>
      </c>
    </row>
    <row r="9" spans="1:6" x14ac:dyDescent="0.25">
      <c r="A9" s="14" t="s">
        <v>102</v>
      </c>
      <c r="B9" s="17">
        <f>SUMIF(Data!$B$2:$B$11,$B$7,Data!$C$2:$C$11)</f>
        <v>145000</v>
      </c>
    </row>
    <row r="11" spans="1:6" ht="15" customHeight="1" x14ac:dyDescent="0.25">
      <c r="A11" s="2" t="s">
        <v>103</v>
      </c>
      <c r="B11" s="2"/>
      <c r="C11" s="2"/>
      <c r="D11" s="2"/>
      <c r="E11" s="2"/>
      <c r="F11" s="2"/>
    </row>
    <row r="12" spans="1:6" x14ac:dyDescent="0.25">
      <c r="A12" s="2"/>
      <c r="B12" s="2"/>
      <c r="C12" s="2"/>
      <c r="D12" s="2"/>
      <c r="E12" s="2"/>
      <c r="F12" s="2"/>
    </row>
    <row r="13" spans="1:6" x14ac:dyDescent="0.25">
      <c r="A13" s="2"/>
      <c r="B13" s="2"/>
      <c r="C13" s="2"/>
      <c r="D13" s="2"/>
      <c r="E13" s="2"/>
      <c r="F13" s="2"/>
    </row>
  </sheetData>
  <mergeCells count="3">
    <mergeCell ref="A1:F1"/>
    <mergeCell ref="B3:F5"/>
    <mergeCell ref="A11:F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zoomScaleNormal="100" workbookViewId="0">
      <selection activeCell="B9" sqref="B9"/>
    </sheetView>
  </sheetViews>
  <sheetFormatPr defaultColWidth="8.5703125" defaultRowHeight="15" x14ac:dyDescent="0.25"/>
  <cols>
    <col min="1" max="6" width="22" customWidth="1"/>
  </cols>
  <sheetData>
    <row r="1" spans="1:6" ht="25.5" customHeight="1" x14ac:dyDescent="0.25">
      <c r="A1" s="4" t="s">
        <v>104</v>
      </c>
      <c r="B1" s="4"/>
      <c r="C1" s="4"/>
      <c r="D1" s="4"/>
      <c r="E1" s="4"/>
      <c r="F1" s="4"/>
    </row>
    <row r="3" spans="1:6" ht="15" customHeight="1" x14ac:dyDescent="0.25">
      <c r="A3" s="14" t="s">
        <v>81</v>
      </c>
      <c r="B3" s="3" t="s">
        <v>105</v>
      </c>
      <c r="C3" s="3"/>
      <c r="D3" s="3"/>
      <c r="E3" s="3"/>
      <c r="F3" s="3"/>
    </row>
    <row r="4" spans="1:6" x14ac:dyDescent="0.25">
      <c r="B4" s="3"/>
      <c r="C4" s="3"/>
      <c r="D4" s="3"/>
      <c r="E4" s="3"/>
      <c r="F4" s="3"/>
    </row>
    <row r="5" spans="1:6" x14ac:dyDescent="0.25">
      <c r="B5" s="3"/>
      <c r="C5" s="3"/>
      <c r="D5" s="3"/>
      <c r="E5" s="3"/>
      <c r="F5" s="3"/>
    </row>
    <row r="7" spans="1:6" x14ac:dyDescent="0.25">
      <c r="A7" s="14" t="s">
        <v>106</v>
      </c>
      <c r="B7" s="15">
        <v>60000</v>
      </c>
    </row>
    <row r="9" spans="1:6" x14ac:dyDescent="0.25">
      <c r="A9" s="14" t="s">
        <v>107</v>
      </c>
      <c r="B9" s="16">
        <f>COUNTIF(Data!$C$2:$C$11,"&gt;"&amp;$B$7)</f>
        <v>5</v>
      </c>
    </row>
    <row r="11" spans="1:6" ht="15" customHeight="1" x14ac:dyDescent="0.25">
      <c r="A11" s="2" t="s">
        <v>108</v>
      </c>
      <c r="B11" s="2"/>
      <c r="C11" s="2"/>
      <c r="D11" s="2"/>
      <c r="E11" s="2"/>
      <c r="F11" s="2"/>
    </row>
    <row r="12" spans="1:6" x14ac:dyDescent="0.25">
      <c r="A12" s="2"/>
      <c r="B12" s="2"/>
      <c r="C12" s="2"/>
      <c r="D12" s="2"/>
      <c r="E12" s="2"/>
      <c r="F12" s="2"/>
    </row>
    <row r="13" spans="1:6" x14ac:dyDescent="0.25">
      <c r="A13" s="2"/>
      <c r="B13" s="2"/>
      <c r="C13" s="2"/>
      <c r="D13" s="2"/>
      <c r="E13" s="2"/>
      <c r="F13" s="2"/>
    </row>
  </sheetData>
  <mergeCells count="3">
    <mergeCell ref="A1:F1"/>
    <mergeCell ref="B3:F5"/>
    <mergeCell ref="A11:F1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zoomScaleNormal="100" workbookViewId="0">
      <selection activeCell="B9" sqref="B9"/>
    </sheetView>
  </sheetViews>
  <sheetFormatPr defaultColWidth="8.5703125" defaultRowHeight="15" x14ac:dyDescent="0.25"/>
  <cols>
    <col min="1" max="6" width="22" customWidth="1"/>
  </cols>
  <sheetData>
    <row r="1" spans="1:6" ht="25.5" customHeight="1" x14ac:dyDescent="0.25">
      <c r="A1" s="4" t="s">
        <v>109</v>
      </c>
      <c r="B1" s="4"/>
      <c r="C1" s="4"/>
      <c r="D1" s="4"/>
      <c r="E1" s="4"/>
      <c r="F1" s="4"/>
    </row>
    <row r="3" spans="1:6" ht="15" customHeight="1" x14ac:dyDescent="0.25">
      <c r="A3" s="14" t="s">
        <v>81</v>
      </c>
      <c r="B3" s="3" t="s">
        <v>110</v>
      </c>
      <c r="C3" s="3"/>
      <c r="D3" s="3"/>
      <c r="E3" s="3"/>
      <c r="F3" s="3"/>
    </row>
    <row r="4" spans="1:6" x14ac:dyDescent="0.25">
      <c r="B4" s="3"/>
      <c r="C4" s="3"/>
      <c r="D4" s="3"/>
      <c r="E4" s="3"/>
      <c r="F4" s="3"/>
    </row>
    <row r="5" spans="1:6" x14ac:dyDescent="0.25">
      <c r="B5" s="3"/>
      <c r="C5" s="3"/>
      <c r="D5" s="3"/>
      <c r="E5" s="3"/>
      <c r="F5" s="3"/>
    </row>
    <row r="7" spans="1:6" x14ac:dyDescent="0.25">
      <c r="A7" s="14" t="s">
        <v>101</v>
      </c>
      <c r="B7" s="15" t="s">
        <v>21</v>
      </c>
    </row>
    <row r="9" spans="1:6" x14ac:dyDescent="0.25">
      <c r="A9" s="14" t="s">
        <v>111</v>
      </c>
      <c r="B9" s="17">
        <f>AVERAGEIF(Data!$B$2:$B$11,$B$7,Data!$C$2:$C$11)</f>
        <v>88000</v>
      </c>
    </row>
    <row r="11" spans="1:6" ht="15" customHeight="1" x14ac:dyDescent="0.25">
      <c r="A11" s="2" t="s">
        <v>112</v>
      </c>
      <c r="B11" s="2"/>
      <c r="C11" s="2"/>
      <c r="D11" s="2"/>
      <c r="E11" s="2"/>
      <c r="F11" s="2"/>
    </row>
    <row r="12" spans="1:6" x14ac:dyDescent="0.25">
      <c r="A12" s="2"/>
      <c r="B12" s="2"/>
      <c r="C12" s="2"/>
      <c r="D12" s="2"/>
      <c r="E12" s="2"/>
      <c r="F12" s="2"/>
    </row>
    <row r="13" spans="1:6" x14ac:dyDescent="0.25">
      <c r="A13" s="2"/>
      <c r="B13" s="2"/>
      <c r="C13" s="2"/>
      <c r="D13" s="2"/>
      <c r="E13" s="2"/>
      <c r="F13" s="2"/>
    </row>
  </sheetData>
  <mergeCells count="3">
    <mergeCell ref="A1:F1"/>
    <mergeCell ref="B3:F5"/>
    <mergeCell ref="A11:F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113</v>
      </c>
      <c r="B1" s="4"/>
      <c r="C1" s="4"/>
      <c r="D1" s="4"/>
      <c r="E1" s="4"/>
      <c r="F1" s="4"/>
    </row>
    <row r="3" spans="1:6" ht="15" customHeight="1" x14ac:dyDescent="0.25">
      <c r="A3" s="14" t="s">
        <v>81</v>
      </c>
      <c r="B3" s="3" t="s">
        <v>114</v>
      </c>
      <c r="C3" s="3"/>
      <c r="D3" s="3"/>
      <c r="E3" s="3"/>
      <c r="F3" s="3"/>
    </row>
    <row r="4" spans="1:6" x14ac:dyDescent="0.25">
      <c r="B4" s="3"/>
      <c r="C4" s="3"/>
      <c r="D4" s="3"/>
      <c r="E4" s="3"/>
      <c r="F4" s="3"/>
    </row>
    <row r="5" spans="1:6" x14ac:dyDescent="0.25">
      <c r="B5" s="3"/>
      <c r="C5" s="3"/>
      <c r="D5" s="3"/>
      <c r="E5" s="3"/>
      <c r="F5" s="3"/>
    </row>
    <row r="7" spans="1:6" x14ac:dyDescent="0.25">
      <c r="A7" s="14" t="s">
        <v>101</v>
      </c>
      <c r="B7" s="15" t="s">
        <v>11</v>
      </c>
    </row>
    <row r="8" spans="1:6" x14ac:dyDescent="0.25">
      <c r="A8" s="14" t="s">
        <v>115</v>
      </c>
      <c r="B8" s="15" t="s">
        <v>12</v>
      </c>
    </row>
    <row r="10" spans="1:6" x14ac:dyDescent="0.25">
      <c r="A10" s="14" t="s">
        <v>116</v>
      </c>
      <c r="B10" s="17">
        <f>SUMIFS(Data!$C$2:$C$11,Data!$B$2:$B$11,$B$7,Data!$E$2:$E$11,$B$8)</f>
        <v>117000</v>
      </c>
    </row>
    <row r="12" spans="1:6" ht="15" customHeight="1" x14ac:dyDescent="0.25">
      <c r="A12" s="2" t="s">
        <v>117</v>
      </c>
      <c r="B12" s="2"/>
      <c r="C12" s="2"/>
      <c r="D12" s="2"/>
      <c r="E12" s="2"/>
      <c r="F12" s="2"/>
    </row>
    <row r="13" spans="1:6" x14ac:dyDescent="0.25">
      <c r="A13" s="2"/>
      <c r="B13" s="2"/>
      <c r="C13" s="2"/>
      <c r="D13" s="2"/>
      <c r="E13" s="2"/>
      <c r="F13" s="2"/>
    </row>
    <row r="14" spans="1:6" x14ac:dyDescent="0.25">
      <c r="A14" s="2"/>
      <c r="B14" s="2"/>
      <c r="C14" s="2"/>
      <c r="D14" s="2"/>
      <c r="E14" s="2"/>
      <c r="F14" s="2"/>
    </row>
  </sheetData>
  <mergeCells count="3">
    <mergeCell ref="A1:F1"/>
    <mergeCell ref="B3:F5"/>
    <mergeCell ref="A12:F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118</v>
      </c>
      <c r="B1" s="4"/>
      <c r="C1" s="4"/>
      <c r="D1" s="4"/>
      <c r="E1" s="4"/>
      <c r="F1" s="4"/>
    </row>
    <row r="3" spans="1:6" ht="15" customHeight="1" x14ac:dyDescent="0.25">
      <c r="A3" s="14" t="s">
        <v>81</v>
      </c>
      <c r="B3" s="3" t="s">
        <v>119</v>
      </c>
      <c r="C3" s="3"/>
      <c r="D3" s="3"/>
      <c r="E3" s="3"/>
      <c r="F3" s="3"/>
    </row>
    <row r="4" spans="1:6" x14ac:dyDescent="0.25">
      <c r="B4" s="3"/>
      <c r="C4" s="3"/>
      <c r="D4" s="3"/>
      <c r="E4" s="3"/>
      <c r="F4" s="3"/>
    </row>
    <row r="5" spans="1:6" x14ac:dyDescent="0.25">
      <c r="B5" s="3"/>
      <c r="C5" s="3"/>
      <c r="D5" s="3"/>
      <c r="E5" s="3"/>
      <c r="F5" s="3"/>
    </row>
    <row r="7" spans="1:6" x14ac:dyDescent="0.25">
      <c r="A7" s="14" t="s">
        <v>101</v>
      </c>
      <c r="B7" s="15" t="s">
        <v>11</v>
      </c>
    </row>
    <row r="8" spans="1:6" x14ac:dyDescent="0.25">
      <c r="A8" s="14" t="s">
        <v>120</v>
      </c>
      <c r="B8" s="15">
        <v>3</v>
      </c>
    </row>
    <row r="10" spans="1:6" x14ac:dyDescent="0.25">
      <c r="A10" s="14" t="s">
        <v>121</v>
      </c>
      <c r="B10" s="16">
        <f>COUNTIFS(Data!$B$2:$B$11,$B$7,Data!$I$2:$I$11,"&gt;="&amp;$B$8)</f>
        <v>2</v>
      </c>
    </row>
    <row r="12" spans="1:6" ht="15" customHeight="1" x14ac:dyDescent="0.25">
      <c r="A12" s="2" t="s">
        <v>122</v>
      </c>
      <c r="B12" s="2"/>
      <c r="C12" s="2"/>
      <c r="D12" s="2"/>
      <c r="E12" s="2"/>
      <c r="F12" s="2"/>
    </row>
    <row r="13" spans="1:6" x14ac:dyDescent="0.25">
      <c r="A13" s="2"/>
      <c r="B13" s="2"/>
      <c r="C13" s="2"/>
      <c r="D13" s="2"/>
      <c r="E13" s="2"/>
      <c r="F13" s="2"/>
    </row>
    <row r="14" spans="1:6" x14ac:dyDescent="0.25">
      <c r="A14" s="2"/>
      <c r="B14" s="2"/>
      <c r="C14" s="2"/>
      <c r="D14" s="2"/>
      <c r="E14" s="2"/>
      <c r="F14" s="2"/>
    </row>
  </sheetData>
  <mergeCells count="3">
    <mergeCell ref="A1:F1"/>
    <mergeCell ref="B3:F5"/>
    <mergeCell ref="A12:F1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123</v>
      </c>
      <c r="B1" s="4"/>
      <c r="C1" s="4"/>
      <c r="D1" s="4"/>
      <c r="E1" s="4"/>
      <c r="F1" s="4"/>
    </row>
    <row r="3" spans="1:6" ht="15" customHeight="1" x14ac:dyDescent="0.25">
      <c r="A3" s="14" t="s">
        <v>81</v>
      </c>
      <c r="B3" s="3" t="s">
        <v>124</v>
      </c>
      <c r="C3" s="3"/>
      <c r="D3" s="3"/>
      <c r="E3" s="3"/>
      <c r="F3" s="3"/>
    </row>
    <row r="4" spans="1:6" x14ac:dyDescent="0.25">
      <c r="B4" s="3"/>
      <c r="C4" s="3"/>
      <c r="D4" s="3"/>
      <c r="E4" s="3"/>
      <c r="F4" s="3"/>
    </row>
    <row r="5" spans="1:6" x14ac:dyDescent="0.25">
      <c r="B5" s="3"/>
      <c r="C5" s="3"/>
      <c r="D5" s="3"/>
      <c r="E5" s="3"/>
      <c r="F5" s="3"/>
    </row>
    <row r="7" spans="1:6" x14ac:dyDescent="0.25">
      <c r="A7" s="14" t="s">
        <v>125</v>
      </c>
      <c r="B7" s="15">
        <v>58000</v>
      </c>
    </row>
    <row r="9" spans="1:6" x14ac:dyDescent="0.25">
      <c r="A9" s="14" t="s">
        <v>126</v>
      </c>
      <c r="B9" s="16" t="str">
        <f>IF($B$7&lt;50000,"Low",IF($B$7&lt;=75000,"Medium","High"))</f>
        <v>Medium</v>
      </c>
    </row>
    <row r="11" spans="1:6" ht="15" customHeight="1" x14ac:dyDescent="0.25">
      <c r="A11" s="2" t="s">
        <v>127</v>
      </c>
      <c r="B11" s="2"/>
      <c r="C11" s="2"/>
      <c r="D11" s="2"/>
      <c r="E11" s="2"/>
      <c r="F11" s="2"/>
    </row>
    <row r="12" spans="1:6" x14ac:dyDescent="0.25">
      <c r="A12" s="2"/>
      <c r="B12" s="2"/>
      <c r="C12" s="2"/>
      <c r="D12" s="2"/>
      <c r="E12" s="2"/>
      <c r="F12" s="2"/>
    </row>
    <row r="13" spans="1:6" x14ac:dyDescent="0.25">
      <c r="A13" s="2"/>
      <c r="B13" s="2"/>
      <c r="C13" s="2"/>
      <c r="D13" s="2"/>
      <c r="E13" s="2"/>
      <c r="F13" s="2"/>
    </row>
  </sheetData>
  <mergeCells count="3">
    <mergeCell ref="A1:F1"/>
    <mergeCell ref="B3:F5"/>
    <mergeCell ref="A11:F1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128</v>
      </c>
      <c r="B1" s="4"/>
      <c r="C1" s="4"/>
      <c r="D1" s="4"/>
      <c r="E1" s="4"/>
      <c r="F1" s="4"/>
    </row>
    <row r="3" spans="1:6" ht="15" customHeight="1" x14ac:dyDescent="0.25">
      <c r="A3" s="14" t="s">
        <v>81</v>
      </c>
      <c r="B3" s="3" t="s">
        <v>129</v>
      </c>
      <c r="C3" s="3"/>
      <c r="D3" s="3"/>
      <c r="E3" s="3"/>
      <c r="F3" s="3"/>
    </row>
    <row r="4" spans="1:6" x14ac:dyDescent="0.25">
      <c r="B4" s="3"/>
      <c r="C4" s="3"/>
      <c r="D4" s="3"/>
      <c r="E4" s="3"/>
      <c r="F4" s="3"/>
    </row>
    <row r="5" spans="1:6" x14ac:dyDescent="0.25">
      <c r="B5" s="3"/>
      <c r="C5" s="3"/>
      <c r="D5" s="3"/>
      <c r="E5" s="3"/>
      <c r="F5" s="3"/>
    </row>
    <row r="7" spans="1:6" x14ac:dyDescent="0.25">
      <c r="A7" s="14" t="s">
        <v>130</v>
      </c>
    </row>
    <row r="8" spans="1:6" x14ac:dyDescent="0.25">
      <c r="A8" s="14" t="s">
        <v>131</v>
      </c>
      <c r="B8" s="14" t="s">
        <v>132</v>
      </c>
    </row>
    <row r="9" spans="1:6" x14ac:dyDescent="0.25">
      <c r="A9">
        <v>0</v>
      </c>
      <c r="B9" s="20">
        <v>0.05</v>
      </c>
    </row>
    <row r="10" spans="1:6" x14ac:dyDescent="0.25">
      <c r="A10">
        <v>45000</v>
      </c>
      <c r="B10" s="20">
        <v>0.1</v>
      </c>
    </row>
    <row r="11" spans="1:6" x14ac:dyDescent="0.25">
      <c r="A11">
        <v>65000</v>
      </c>
      <c r="B11" s="20">
        <v>0.15</v>
      </c>
    </row>
    <row r="12" spans="1:6" x14ac:dyDescent="0.25">
      <c r="A12">
        <v>85000</v>
      </c>
      <c r="B12" s="20">
        <v>0.2</v>
      </c>
    </row>
    <row r="14" spans="1:6" x14ac:dyDescent="0.25">
      <c r="A14" s="14" t="s">
        <v>125</v>
      </c>
      <c r="B14" s="15">
        <v>67000</v>
      </c>
    </row>
    <row r="16" spans="1:6" x14ac:dyDescent="0.25">
      <c r="A16" s="14" t="s">
        <v>133</v>
      </c>
      <c r="B16" s="19">
        <f>VLOOKUP($B$14,$A$9:$B$12,2,TRUE())</f>
        <v>0.15</v>
      </c>
    </row>
    <row r="18" spans="1:6" ht="15" customHeight="1" x14ac:dyDescent="0.25">
      <c r="A18" s="2" t="s">
        <v>134</v>
      </c>
      <c r="B18" s="2"/>
      <c r="C18" s="2"/>
      <c r="D18" s="2"/>
      <c r="E18" s="2"/>
      <c r="F18" s="2"/>
    </row>
    <row r="19" spans="1:6" x14ac:dyDescent="0.25">
      <c r="A19" s="2"/>
      <c r="B19" s="2"/>
      <c r="C19" s="2"/>
      <c r="D19" s="2"/>
      <c r="E19" s="2"/>
      <c r="F19" s="2"/>
    </row>
    <row r="20" spans="1:6" x14ac:dyDescent="0.25">
      <c r="A20" s="2"/>
      <c r="B20" s="2"/>
      <c r="C20" s="2"/>
      <c r="D20" s="2"/>
      <c r="E20" s="2"/>
      <c r="F20" s="2"/>
    </row>
  </sheetData>
  <mergeCells count="3">
    <mergeCell ref="A1:F1"/>
    <mergeCell ref="B3:F5"/>
    <mergeCell ref="A18:F2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zoomScaleNormal="100" workbookViewId="0"/>
  </sheetViews>
  <sheetFormatPr defaultColWidth="8.5703125" defaultRowHeight="15" x14ac:dyDescent="0.25"/>
  <cols>
    <col min="1" max="6" width="22" customWidth="1"/>
  </cols>
  <sheetData>
    <row r="1" spans="1:6" ht="25.5" customHeight="1" x14ac:dyDescent="0.25">
      <c r="A1" s="4" t="s">
        <v>135</v>
      </c>
      <c r="B1" s="4"/>
      <c r="C1" s="4"/>
      <c r="D1" s="4"/>
      <c r="E1" s="4"/>
      <c r="F1" s="4"/>
    </row>
    <row r="3" spans="1:6" ht="15" customHeight="1" x14ac:dyDescent="0.25">
      <c r="A3" s="14" t="s">
        <v>81</v>
      </c>
      <c r="B3" s="3" t="s">
        <v>136</v>
      </c>
      <c r="C3" s="3"/>
      <c r="D3" s="3"/>
      <c r="E3" s="3"/>
      <c r="F3" s="3"/>
    </row>
    <row r="4" spans="1:6" x14ac:dyDescent="0.25">
      <c r="B4" s="3"/>
      <c r="C4" s="3"/>
      <c r="D4" s="3"/>
      <c r="E4" s="3"/>
      <c r="F4" s="3"/>
    </row>
    <row r="5" spans="1:6" x14ac:dyDescent="0.25">
      <c r="B5" s="3"/>
      <c r="C5" s="3"/>
      <c r="D5" s="3"/>
      <c r="E5" s="3"/>
      <c r="F5" s="3"/>
    </row>
    <row r="7" spans="1:6" x14ac:dyDescent="0.25">
      <c r="A7" s="14" t="s">
        <v>137</v>
      </c>
      <c r="B7" s="15" t="s">
        <v>23</v>
      </c>
    </row>
    <row r="9" spans="1:6" x14ac:dyDescent="0.25">
      <c r="A9" s="14" t="s">
        <v>138</v>
      </c>
      <c r="B9" s="16">
        <f>RANK(INDEX(Data!$C$2:$C$11,MATCH($B$7,Data!$A$2:$A$11,0)),Data!$C$2:$C$11,0)</f>
        <v>4</v>
      </c>
    </row>
    <row r="11" spans="1:6" ht="15" customHeight="1" x14ac:dyDescent="0.25">
      <c r="A11" s="2" t="s">
        <v>139</v>
      </c>
      <c r="B11" s="2"/>
      <c r="C11" s="2"/>
      <c r="D11" s="2"/>
      <c r="E11" s="2"/>
      <c r="F11" s="2"/>
    </row>
    <row r="12" spans="1:6" x14ac:dyDescent="0.25">
      <c r="A12" s="2"/>
      <c r="B12" s="2"/>
      <c r="C12" s="2"/>
      <c r="D12" s="2"/>
      <c r="E12" s="2"/>
      <c r="F12" s="2"/>
    </row>
    <row r="13" spans="1:6" x14ac:dyDescent="0.25">
      <c r="A13" s="2"/>
      <c r="B13" s="2"/>
      <c r="C13" s="2"/>
      <c r="D13" s="2"/>
      <c r="E13" s="2"/>
      <c r="F13" s="2"/>
    </row>
  </sheetData>
  <mergeCells count="3">
    <mergeCell ref="A1:F1"/>
    <mergeCell ref="B3:F5"/>
    <mergeCell ref="A11:F1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4"/>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140</v>
      </c>
      <c r="B1" s="4"/>
      <c r="C1" s="4"/>
      <c r="D1" s="4"/>
      <c r="E1" s="4"/>
      <c r="F1" s="4"/>
    </row>
    <row r="3" spans="1:6" ht="15" customHeight="1" x14ac:dyDescent="0.25">
      <c r="A3" s="14" t="s">
        <v>81</v>
      </c>
      <c r="B3" s="3" t="s">
        <v>141</v>
      </c>
      <c r="C3" s="3"/>
      <c r="D3" s="3"/>
      <c r="E3" s="3"/>
      <c r="F3" s="3"/>
    </row>
    <row r="4" spans="1:6" x14ac:dyDescent="0.25">
      <c r="B4" s="3"/>
      <c r="C4" s="3"/>
      <c r="D4" s="3"/>
      <c r="E4" s="3"/>
      <c r="F4" s="3"/>
    </row>
    <row r="5" spans="1:6" x14ac:dyDescent="0.25">
      <c r="B5" s="3"/>
      <c r="C5" s="3"/>
      <c r="D5" s="3"/>
      <c r="E5" s="3"/>
      <c r="F5" s="3"/>
    </row>
    <row r="7" spans="1:6" x14ac:dyDescent="0.25">
      <c r="A7" s="14" t="s">
        <v>142</v>
      </c>
      <c r="B7" s="15">
        <v>2</v>
      </c>
    </row>
    <row r="9" spans="1:6" x14ac:dyDescent="0.25">
      <c r="A9" s="14" t="s">
        <v>143</v>
      </c>
      <c r="B9" s="17">
        <f>LARGE(Data!$C$2:$C$11,$B$7)</f>
        <v>85000</v>
      </c>
    </row>
    <row r="10" spans="1:6" x14ac:dyDescent="0.25">
      <c r="A10" s="14" t="s">
        <v>144</v>
      </c>
      <c r="B10" s="17">
        <f>SMALL(Data!$C$2:$C$11,$B$7)</f>
        <v>48000</v>
      </c>
    </row>
    <row r="12" spans="1:6" ht="15" customHeight="1" x14ac:dyDescent="0.25">
      <c r="A12" s="2" t="s">
        <v>145</v>
      </c>
      <c r="B12" s="2"/>
      <c r="C12" s="2"/>
      <c r="D12" s="2"/>
      <c r="E12" s="2"/>
      <c r="F12" s="2"/>
    </row>
    <row r="13" spans="1:6" x14ac:dyDescent="0.25">
      <c r="A13" s="2"/>
      <c r="B13" s="2"/>
      <c r="C13" s="2"/>
      <c r="D13" s="2"/>
      <c r="E13" s="2"/>
      <c r="F13" s="2"/>
    </row>
    <row r="14" spans="1:6" x14ac:dyDescent="0.25">
      <c r="A14" s="2"/>
      <c r="B14" s="2"/>
      <c r="C14" s="2"/>
      <c r="D14" s="2"/>
      <c r="E14" s="2"/>
      <c r="F14" s="2"/>
    </row>
  </sheetData>
  <mergeCells count="3">
    <mergeCell ref="A1:F1"/>
    <mergeCell ref="B3:F5"/>
    <mergeCell ref="A12:F1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zoomScaleNormal="100" workbookViewId="0"/>
  </sheetViews>
  <sheetFormatPr defaultColWidth="8.5703125" defaultRowHeight="15" x14ac:dyDescent="0.25"/>
  <cols>
    <col min="1" max="6" width="22" customWidth="1"/>
  </cols>
  <sheetData>
    <row r="1" spans="1:6" ht="25.5" customHeight="1" x14ac:dyDescent="0.25">
      <c r="A1" s="4" t="s">
        <v>146</v>
      </c>
      <c r="B1" s="4"/>
      <c r="C1" s="4"/>
      <c r="D1" s="4"/>
      <c r="E1" s="4"/>
      <c r="F1" s="4"/>
    </row>
    <row r="3" spans="1:6" ht="15" customHeight="1" x14ac:dyDescent="0.25">
      <c r="A3" s="14" t="s">
        <v>81</v>
      </c>
      <c r="B3" s="3" t="s">
        <v>147</v>
      </c>
      <c r="C3" s="3"/>
      <c r="D3" s="3"/>
      <c r="E3" s="3"/>
      <c r="F3" s="3"/>
    </row>
    <row r="4" spans="1:6" x14ac:dyDescent="0.25">
      <c r="B4" s="3"/>
      <c r="C4" s="3"/>
      <c r="D4" s="3"/>
      <c r="E4" s="3"/>
      <c r="F4" s="3"/>
    </row>
    <row r="5" spans="1:6" x14ac:dyDescent="0.25">
      <c r="B5" s="3"/>
      <c r="C5" s="3"/>
      <c r="D5" s="3"/>
      <c r="E5" s="3"/>
      <c r="F5" s="3"/>
    </row>
    <row r="7" spans="1:6" x14ac:dyDescent="0.25">
      <c r="A7" s="14" t="s">
        <v>148</v>
      </c>
      <c r="B7" s="15" t="s">
        <v>149</v>
      </c>
    </row>
    <row r="9" spans="1:6" x14ac:dyDescent="0.25">
      <c r="A9" s="14" t="s">
        <v>150</v>
      </c>
      <c r="B9" s="16" t="str">
        <f>IFERROR(IF(MATCH($B$7,Data!$A$2:$A$11,0)&gt;0,"Yes, Found","No"),"No")</f>
        <v>No</v>
      </c>
    </row>
    <row r="11" spans="1:6" ht="15" customHeight="1" x14ac:dyDescent="0.25">
      <c r="A11" s="2" t="s">
        <v>151</v>
      </c>
      <c r="B11" s="2"/>
      <c r="C11" s="2"/>
      <c r="D11" s="2"/>
      <c r="E11" s="2"/>
      <c r="F11" s="2"/>
    </row>
    <row r="12" spans="1:6" x14ac:dyDescent="0.25">
      <c r="A12" s="2"/>
      <c r="B12" s="2"/>
      <c r="C12" s="2"/>
      <c r="D12" s="2"/>
      <c r="E12" s="2"/>
      <c r="F12" s="2"/>
    </row>
    <row r="13" spans="1:6" x14ac:dyDescent="0.25">
      <c r="A13" s="2"/>
      <c r="B13" s="2"/>
      <c r="C13" s="2"/>
      <c r="D13" s="2"/>
      <c r="E13" s="2"/>
      <c r="F13" s="2"/>
    </row>
  </sheetData>
  <mergeCells count="3">
    <mergeCell ref="A1:F1"/>
    <mergeCell ref="B3:F5"/>
    <mergeCell ref="A11:F1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4"/>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152</v>
      </c>
      <c r="B1" s="4"/>
      <c r="C1" s="4"/>
      <c r="D1" s="4"/>
      <c r="E1" s="4"/>
      <c r="F1" s="4"/>
    </row>
    <row r="3" spans="1:6" ht="15" customHeight="1" x14ac:dyDescent="0.25">
      <c r="A3" s="14" t="s">
        <v>81</v>
      </c>
      <c r="B3" s="3" t="s">
        <v>153</v>
      </c>
      <c r="C3" s="3"/>
      <c r="D3" s="3"/>
      <c r="E3" s="3"/>
      <c r="F3" s="3"/>
    </row>
    <row r="4" spans="1:6" x14ac:dyDescent="0.25">
      <c r="B4" s="3"/>
      <c r="C4" s="3"/>
      <c r="D4" s="3"/>
      <c r="E4" s="3"/>
      <c r="F4" s="3"/>
    </row>
    <row r="5" spans="1:6" x14ac:dyDescent="0.25">
      <c r="B5" s="3"/>
      <c r="C5" s="3"/>
      <c r="D5" s="3"/>
      <c r="E5" s="3"/>
      <c r="F5" s="3"/>
    </row>
    <row r="7" spans="1:6" x14ac:dyDescent="0.25">
      <c r="A7" s="14" t="s">
        <v>137</v>
      </c>
      <c r="B7" s="15" t="s">
        <v>29</v>
      </c>
    </row>
    <row r="9" spans="1:6" x14ac:dyDescent="0.25">
      <c r="A9" s="14" t="s">
        <v>154</v>
      </c>
      <c r="B9" s="1" t="str">
        <f>_xlfn.TEXTJOIN(" ",TRUE(),$B$7,"works in the",INDEX(Data!$B$2:$B$11,MATCH($B$7,Data!$A$2:$A$11,0)),"department, based in",INDEX(Data!$E$2:$E$11,MATCH($B$7,Data!$A$2:$A$11,0)),"and earns",INDEX(Data!$C$2:$C$11,MATCH($B$7,Data!$A$2:$A$11,0)))</f>
        <v>Divya Kapoor works in the Sales department, based in Delhi and earns 55000</v>
      </c>
      <c r="C9" s="1"/>
      <c r="D9" s="1"/>
      <c r="E9" s="1"/>
      <c r="F9" s="1"/>
    </row>
    <row r="11" spans="1:6" ht="15" customHeight="1" x14ac:dyDescent="0.25">
      <c r="A11" s="2" t="s">
        <v>155</v>
      </c>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sheetData>
  <mergeCells count="4">
    <mergeCell ref="A1:F1"/>
    <mergeCell ref="B3:F5"/>
    <mergeCell ref="B9:F9"/>
    <mergeCell ref="A11:F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156</v>
      </c>
      <c r="B1" s="4"/>
      <c r="C1" s="4"/>
      <c r="D1" s="4"/>
      <c r="E1" s="4"/>
      <c r="F1" s="4"/>
    </row>
    <row r="3" spans="1:6" ht="15" customHeight="1" x14ac:dyDescent="0.25">
      <c r="A3" s="14" t="s">
        <v>81</v>
      </c>
      <c r="B3" s="3" t="s">
        <v>157</v>
      </c>
      <c r="C3" s="3"/>
      <c r="D3" s="3"/>
      <c r="E3" s="3"/>
      <c r="F3" s="3"/>
    </row>
    <row r="4" spans="1:6" x14ac:dyDescent="0.25">
      <c r="B4" s="3"/>
      <c r="C4" s="3"/>
      <c r="D4" s="3"/>
      <c r="E4" s="3"/>
      <c r="F4" s="3"/>
    </row>
    <row r="5" spans="1:6" x14ac:dyDescent="0.25">
      <c r="B5" s="3"/>
      <c r="C5" s="3"/>
      <c r="D5" s="3"/>
      <c r="E5" s="3"/>
      <c r="F5" s="3"/>
    </row>
    <row r="7" spans="1:6" x14ac:dyDescent="0.25">
      <c r="A7" s="14" t="s">
        <v>158</v>
      </c>
      <c r="B7" s="15" t="s">
        <v>28</v>
      </c>
    </row>
    <row r="9" spans="1:6" x14ac:dyDescent="0.25">
      <c r="A9" s="14" t="s">
        <v>159</v>
      </c>
      <c r="B9" s="16" t="str">
        <f>LEFT($B$7,FIND(" ",$B$7)-1)</f>
        <v>Arjun</v>
      </c>
    </row>
    <row r="10" spans="1:6" x14ac:dyDescent="0.25">
      <c r="A10" s="14" t="s">
        <v>160</v>
      </c>
      <c r="B10" s="16" t="str">
        <f>MID($B$7,FIND(" ",$B$7)+1,LEN($B$7))</f>
        <v>Nair</v>
      </c>
    </row>
    <row r="11" spans="1:6" x14ac:dyDescent="0.25">
      <c r="A11" s="14" t="s">
        <v>161</v>
      </c>
      <c r="B11" s="16" t="str">
        <f>LEFT($B$7,1)&amp;LEFT(MID($B$7,FIND(" ",$B$7)+1,LEN($B$7)),1)</f>
        <v>AN</v>
      </c>
    </row>
    <row r="13" spans="1:6" ht="15" customHeight="1" x14ac:dyDescent="0.25">
      <c r="A13" s="2" t="s">
        <v>162</v>
      </c>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sheetData>
  <mergeCells count="3">
    <mergeCell ref="A1:F1"/>
    <mergeCell ref="B3:F5"/>
    <mergeCell ref="A13:F16"/>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6"/>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163</v>
      </c>
      <c r="B1" s="4"/>
      <c r="C1" s="4"/>
      <c r="D1" s="4"/>
      <c r="E1" s="4"/>
      <c r="F1" s="4"/>
    </row>
    <row r="3" spans="1:6" ht="15" customHeight="1" x14ac:dyDescent="0.25">
      <c r="A3" s="14" t="s">
        <v>81</v>
      </c>
      <c r="B3" s="3" t="s">
        <v>164</v>
      </c>
      <c r="C3" s="3"/>
      <c r="D3" s="3"/>
      <c r="E3" s="3"/>
      <c r="F3" s="3"/>
    </row>
    <row r="4" spans="1:6" x14ac:dyDescent="0.25">
      <c r="B4" s="3"/>
      <c r="C4" s="3"/>
      <c r="D4" s="3"/>
      <c r="E4" s="3"/>
      <c r="F4" s="3"/>
    </row>
    <row r="5" spans="1:6" x14ac:dyDescent="0.25">
      <c r="B5" s="3"/>
      <c r="C5" s="3"/>
      <c r="D5" s="3"/>
      <c r="E5" s="3"/>
      <c r="F5" s="3"/>
    </row>
    <row r="7" spans="1:6" x14ac:dyDescent="0.25">
      <c r="A7" s="14" t="s">
        <v>137</v>
      </c>
      <c r="B7" s="15" t="s">
        <v>10</v>
      </c>
    </row>
    <row r="9" spans="1:6" x14ac:dyDescent="0.25">
      <c r="A9" s="14" t="s">
        <v>88</v>
      </c>
      <c r="B9" s="18">
        <f>INDEX(Data!$F$2:$F$11,MATCH($B$7,Data!$A$2:$A$11,0))</f>
        <v>43628</v>
      </c>
    </row>
    <row r="10" spans="1:6" x14ac:dyDescent="0.25">
      <c r="A10" s="14" t="s">
        <v>165</v>
      </c>
      <c r="B10" s="16">
        <f ca="1">DATEDIF($B$9,TODAY(),"y")</f>
        <v>7</v>
      </c>
    </row>
    <row r="11" spans="1:6" x14ac:dyDescent="0.25">
      <c r="A11" s="14" t="s">
        <v>166</v>
      </c>
      <c r="B11" s="16">
        <f ca="1">TODAY()-$B$9</f>
        <v>2656</v>
      </c>
    </row>
    <row r="13" spans="1:6" ht="15" customHeight="1" x14ac:dyDescent="0.25">
      <c r="A13" s="2" t="s">
        <v>167</v>
      </c>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sheetData>
  <mergeCells count="3">
    <mergeCell ref="A1:F1"/>
    <mergeCell ref="B3:F5"/>
    <mergeCell ref="A13:F16"/>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5"/>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168</v>
      </c>
      <c r="B1" s="4"/>
      <c r="C1" s="4"/>
      <c r="D1" s="4"/>
      <c r="E1" s="4"/>
      <c r="F1" s="4"/>
    </row>
    <row r="3" spans="1:6" ht="15" customHeight="1" x14ac:dyDescent="0.25">
      <c r="A3" s="14" t="s">
        <v>81</v>
      </c>
      <c r="B3" s="3" t="s">
        <v>169</v>
      </c>
      <c r="C3" s="3"/>
      <c r="D3" s="3"/>
      <c r="E3" s="3"/>
      <c r="F3" s="3"/>
    </row>
    <row r="4" spans="1:6" x14ac:dyDescent="0.25">
      <c r="B4" s="3"/>
      <c r="C4" s="3"/>
      <c r="D4" s="3"/>
      <c r="E4" s="3"/>
      <c r="F4" s="3"/>
    </row>
    <row r="5" spans="1:6" x14ac:dyDescent="0.25">
      <c r="B5" s="3"/>
      <c r="C5" s="3"/>
      <c r="D5" s="3"/>
      <c r="E5" s="3"/>
      <c r="F5" s="3"/>
    </row>
    <row r="7" spans="1:6" x14ac:dyDescent="0.25">
      <c r="A7" s="14" t="s">
        <v>137</v>
      </c>
      <c r="B7" s="15" t="s">
        <v>27</v>
      </c>
    </row>
    <row r="8" spans="1:6" x14ac:dyDescent="0.25">
      <c r="A8" s="14" t="s">
        <v>170</v>
      </c>
      <c r="B8" s="15" t="s">
        <v>8</v>
      </c>
    </row>
    <row r="10" spans="1:6" x14ac:dyDescent="0.25">
      <c r="A10" s="14" t="s">
        <v>171</v>
      </c>
      <c r="B10" s="16">
        <f>INDEX(Data!$A$2:$J$11,MATCH($B$7,Data!$A$2:$A$11,0),MATCH($B$8,Data!$A$1:$J$1,0))</f>
        <v>3</v>
      </c>
    </row>
    <row r="12" spans="1:6" ht="15" customHeight="1" x14ac:dyDescent="0.25">
      <c r="A12" s="2" t="s">
        <v>172</v>
      </c>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sheetData>
  <mergeCells count="3">
    <mergeCell ref="A1:F1"/>
    <mergeCell ref="B3:F5"/>
    <mergeCell ref="A12:F15"/>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4"/>
  <sheetViews>
    <sheetView zoomScaleNormal="100" workbookViewId="0">
      <selection sqref="A1:F1"/>
    </sheetView>
  </sheetViews>
  <sheetFormatPr defaultColWidth="8.5703125" defaultRowHeight="15" x14ac:dyDescent="0.25"/>
  <cols>
    <col min="1" max="6" width="22" customWidth="1"/>
  </cols>
  <sheetData>
    <row r="1" spans="1:6" ht="25.5" customHeight="1" x14ac:dyDescent="0.25">
      <c r="A1" s="4" t="s">
        <v>173</v>
      </c>
      <c r="B1" s="4"/>
      <c r="C1" s="4"/>
      <c r="D1" s="4"/>
      <c r="E1" s="4"/>
      <c r="F1" s="4"/>
    </row>
    <row r="3" spans="1:6" ht="15" customHeight="1" x14ac:dyDescent="0.25">
      <c r="A3" s="14" t="s">
        <v>81</v>
      </c>
      <c r="B3" s="3" t="s">
        <v>174</v>
      </c>
      <c r="C3" s="3"/>
      <c r="D3" s="3"/>
      <c r="E3" s="3"/>
      <c r="F3" s="3"/>
    </row>
    <row r="4" spans="1:6" x14ac:dyDescent="0.25">
      <c r="B4" s="3"/>
      <c r="C4" s="3"/>
      <c r="D4" s="3"/>
      <c r="E4" s="3"/>
      <c r="F4" s="3"/>
    </row>
    <row r="5" spans="1:6" x14ac:dyDescent="0.25">
      <c r="B5" s="3"/>
      <c r="C5" s="3"/>
      <c r="D5" s="3"/>
      <c r="E5" s="3"/>
      <c r="F5" s="3"/>
    </row>
    <row r="7" spans="1:6" x14ac:dyDescent="0.25">
      <c r="A7" s="14" t="s">
        <v>137</v>
      </c>
      <c r="B7" s="15" t="s">
        <v>14</v>
      </c>
    </row>
    <row r="9" spans="1:6" x14ac:dyDescent="0.25">
      <c r="A9" s="14" t="s">
        <v>175</v>
      </c>
      <c r="B9" s="16">
        <f>COUNTIF(Data!$A$2:$A$11,$B$7)</f>
        <v>1</v>
      </c>
    </row>
    <row r="10" spans="1:6" x14ac:dyDescent="0.25">
      <c r="A10" s="14" t="s">
        <v>176</v>
      </c>
      <c r="B10" s="16" t="str">
        <f>IF($B$9&gt;1,"Yes, Duplicate","No, Unique")</f>
        <v>No, Unique</v>
      </c>
    </row>
    <row r="12" spans="1:6" ht="15" customHeight="1" x14ac:dyDescent="0.25">
      <c r="A12" s="2" t="s">
        <v>177</v>
      </c>
      <c r="B12" s="2"/>
      <c r="C12" s="2"/>
      <c r="D12" s="2"/>
      <c r="E12" s="2"/>
      <c r="F12" s="2"/>
    </row>
    <row r="13" spans="1:6" x14ac:dyDescent="0.25">
      <c r="A13" s="2"/>
      <c r="B13" s="2"/>
      <c r="C13" s="2"/>
      <c r="D13" s="2"/>
      <c r="E13" s="2"/>
      <c r="F13" s="2"/>
    </row>
    <row r="14" spans="1:6" x14ac:dyDescent="0.25">
      <c r="A14" s="2"/>
      <c r="B14" s="2"/>
      <c r="C14" s="2"/>
      <c r="D14" s="2"/>
      <c r="E14" s="2"/>
      <c r="F14" s="2"/>
    </row>
  </sheetData>
  <mergeCells count="3">
    <mergeCell ref="A1:F1"/>
    <mergeCell ref="B3:F5"/>
    <mergeCell ref="A12:F1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6"/>
  <sheetViews>
    <sheetView zoomScaleNormal="100" workbookViewId="0">
      <selection activeCell="B10" sqref="B10"/>
    </sheetView>
  </sheetViews>
  <sheetFormatPr defaultColWidth="8.5703125" defaultRowHeight="15" x14ac:dyDescent="0.25"/>
  <cols>
    <col min="1" max="6" width="22" customWidth="1"/>
  </cols>
  <sheetData>
    <row r="1" spans="1:6" ht="25.5" customHeight="1" x14ac:dyDescent="0.25">
      <c r="A1" s="4" t="s">
        <v>178</v>
      </c>
      <c r="B1" s="4"/>
      <c r="C1" s="4"/>
      <c r="D1" s="4"/>
      <c r="E1" s="4"/>
      <c r="F1" s="4"/>
    </row>
    <row r="3" spans="1:6" ht="15" customHeight="1" x14ac:dyDescent="0.25">
      <c r="A3" s="14" t="s">
        <v>81</v>
      </c>
      <c r="B3" s="3" t="s">
        <v>179</v>
      </c>
      <c r="C3" s="3"/>
      <c r="D3" s="3"/>
      <c r="E3" s="3"/>
      <c r="F3" s="3"/>
    </row>
    <row r="4" spans="1:6" x14ac:dyDescent="0.25">
      <c r="B4" s="3"/>
      <c r="C4" s="3"/>
      <c r="D4" s="3"/>
      <c r="E4" s="3"/>
      <c r="F4" s="3"/>
    </row>
    <row r="5" spans="1:6" x14ac:dyDescent="0.25">
      <c r="B5" s="3"/>
      <c r="C5" s="3"/>
      <c r="D5" s="3"/>
      <c r="E5" s="3"/>
      <c r="F5" s="3"/>
    </row>
    <row r="7" spans="1:6" x14ac:dyDescent="0.25">
      <c r="A7" s="14" t="s">
        <v>180</v>
      </c>
      <c r="B7" s="15">
        <v>28</v>
      </c>
    </row>
    <row r="8" spans="1:6" x14ac:dyDescent="0.25">
      <c r="A8" s="14" t="s">
        <v>181</v>
      </c>
      <c r="B8" s="15" t="s">
        <v>17</v>
      </c>
    </row>
    <row r="10" spans="1:6" x14ac:dyDescent="0.25">
      <c r="A10" s="14" t="s">
        <v>182</v>
      </c>
      <c r="B10" s="17">
        <f>SUMPRODUCT((Data!$D$2:$D$11&gt;=$B$7)*(Data!$J$2:$J$11=$B$8)*Data!$C$2:$C$11)</f>
        <v>163000</v>
      </c>
    </row>
    <row r="11" spans="1:6" x14ac:dyDescent="0.25">
      <c r="A11" s="14" t="s">
        <v>121</v>
      </c>
      <c r="B11" s="16">
        <f>SUMPRODUCT((Data!$D$2:$D$11&gt;=$B$7)*(Data!$J$2:$J$11=$B$8))</f>
        <v>2</v>
      </c>
    </row>
    <row r="13" spans="1:6" ht="15" customHeight="1" x14ac:dyDescent="0.25">
      <c r="A13" s="2" t="s">
        <v>183</v>
      </c>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sheetData>
  <mergeCells count="3">
    <mergeCell ref="A1:F1"/>
    <mergeCell ref="B3:F5"/>
    <mergeCell ref="A13:F16"/>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4"/>
  <sheetViews>
    <sheetView zoomScaleNormal="100" workbookViewId="0">
      <selection activeCell="B9" sqref="B9"/>
    </sheetView>
  </sheetViews>
  <sheetFormatPr defaultColWidth="8.5703125" defaultRowHeight="15" x14ac:dyDescent="0.25"/>
  <cols>
    <col min="1" max="1" width="34.5703125" bestFit="1" customWidth="1"/>
    <col min="2" max="2" width="14.42578125" bestFit="1" customWidth="1"/>
    <col min="3" max="6" width="22" customWidth="1"/>
  </cols>
  <sheetData>
    <row r="1" spans="1:6" ht="25.5" customHeight="1" x14ac:dyDescent="0.25">
      <c r="A1" s="4" t="s">
        <v>184</v>
      </c>
      <c r="B1" s="4"/>
      <c r="C1" s="4"/>
      <c r="D1" s="4"/>
      <c r="E1" s="4"/>
      <c r="F1" s="4"/>
    </row>
    <row r="3" spans="1:6" ht="15" customHeight="1" x14ac:dyDescent="0.25">
      <c r="A3" s="14" t="s">
        <v>81</v>
      </c>
      <c r="B3" s="3" t="s">
        <v>185</v>
      </c>
      <c r="C3" s="3"/>
      <c r="D3" s="3"/>
      <c r="E3" s="3"/>
      <c r="F3" s="3"/>
    </row>
    <row r="4" spans="1:6" x14ac:dyDescent="0.25">
      <c r="B4" s="3"/>
      <c r="C4" s="3"/>
      <c r="D4" s="3"/>
      <c r="E4" s="3"/>
      <c r="F4" s="3"/>
    </row>
    <row r="5" spans="1:6" x14ac:dyDescent="0.25">
      <c r="B5" s="3"/>
      <c r="C5" s="3"/>
      <c r="D5" s="3"/>
      <c r="E5" s="3"/>
      <c r="F5" s="3"/>
    </row>
    <row r="7" spans="1:6" x14ac:dyDescent="0.25">
      <c r="A7" s="14" t="s">
        <v>186</v>
      </c>
      <c r="B7" s="17">
        <f>MAX(Data!$C$2:$C$11)</f>
        <v>91000</v>
      </c>
    </row>
    <row r="8" spans="1:6" x14ac:dyDescent="0.25">
      <c r="A8" s="14" t="s">
        <v>187</v>
      </c>
      <c r="B8" s="16" t="str">
        <f>INDEX(Data!$A$2:$A$11,MATCH(MAX(Data!$C$2:$C$11),Data!$C$2:$C$11,0))</f>
        <v>Arjun Nair</v>
      </c>
    </row>
    <row r="9" spans="1:6" x14ac:dyDescent="0.25">
      <c r="A9" s="14" t="s">
        <v>188</v>
      </c>
      <c r="B9" s="16" t="str">
        <f>INDEX(Data!$A$2:$A$11,MATCH(MIN(Data!$C$2:$C$11),Data!$C$2:$C$11,0))</f>
        <v>Rohan Gupta</v>
      </c>
    </row>
    <row r="11" spans="1:6" ht="15" customHeight="1" x14ac:dyDescent="0.25">
      <c r="A11" s="2" t="s">
        <v>189</v>
      </c>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sheetData>
  <mergeCells count="3">
    <mergeCell ref="A1:F1"/>
    <mergeCell ref="B3:F5"/>
    <mergeCell ref="A11:F14"/>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1"/>
  <sheetViews>
    <sheetView tabSelected="1" zoomScaleNormal="100" workbookViewId="0">
      <selection sqref="A1:F1"/>
    </sheetView>
  </sheetViews>
  <sheetFormatPr defaultColWidth="8.5703125" defaultRowHeight="15" x14ac:dyDescent="0.25"/>
  <cols>
    <col min="1" max="6" width="22" customWidth="1"/>
  </cols>
  <sheetData>
    <row r="1" spans="1:6" ht="25.5" customHeight="1" x14ac:dyDescent="0.25">
      <c r="A1" s="4" t="s">
        <v>190</v>
      </c>
      <c r="B1" s="4"/>
      <c r="C1" s="4"/>
      <c r="D1" s="4"/>
      <c r="E1" s="4"/>
      <c r="F1" s="4"/>
    </row>
    <row r="3" spans="1:6" ht="15" customHeight="1" x14ac:dyDescent="0.25">
      <c r="A3" s="14" t="s">
        <v>81</v>
      </c>
      <c r="B3" s="3" t="s">
        <v>191</v>
      </c>
      <c r="C3" s="3"/>
      <c r="D3" s="3"/>
      <c r="E3" s="3"/>
      <c r="F3" s="3"/>
    </row>
    <row r="4" spans="1:6" x14ac:dyDescent="0.25">
      <c r="B4" s="3"/>
      <c r="C4" s="3"/>
      <c r="D4" s="3"/>
      <c r="E4" s="3"/>
      <c r="F4" s="3"/>
    </row>
    <row r="5" spans="1:6" x14ac:dyDescent="0.25">
      <c r="B5" s="3"/>
      <c r="C5" s="3"/>
      <c r="D5" s="3"/>
      <c r="E5" s="3"/>
      <c r="F5" s="3"/>
    </row>
    <row r="7" spans="1:6" x14ac:dyDescent="0.25">
      <c r="A7" s="14" t="s">
        <v>0</v>
      </c>
      <c r="B7" s="14" t="s">
        <v>2</v>
      </c>
      <c r="C7" s="14" t="s">
        <v>192</v>
      </c>
    </row>
    <row r="8" spans="1:6" x14ac:dyDescent="0.25">
      <c r="A8" s="11" t="str">
        <f>Data!$A$2</f>
        <v>Aarav Sharma</v>
      </c>
      <c r="B8" s="21">
        <f>Data!$C$2</f>
        <v>62000</v>
      </c>
      <c r="C8" s="17">
        <f>B8</f>
        <v>62000</v>
      </c>
    </row>
    <row r="9" spans="1:6" x14ac:dyDescent="0.25">
      <c r="A9" s="11" t="str">
        <f>Data!$A$3</f>
        <v>Priya Verma</v>
      </c>
      <c r="B9" s="21">
        <f>Data!$C$3</f>
        <v>78000</v>
      </c>
      <c r="C9" s="17">
        <f t="shared" ref="C9:C17" si="0">C8+B9</f>
        <v>140000</v>
      </c>
    </row>
    <row r="10" spans="1:6" x14ac:dyDescent="0.25">
      <c r="A10" s="11" t="str">
        <f>Data!$A$4</f>
        <v>Rohan Gupta</v>
      </c>
      <c r="B10" s="21">
        <f>Data!$C$4</f>
        <v>45000</v>
      </c>
      <c r="C10" s="17">
        <f t="shared" si="0"/>
        <v>185000</v>
      </c>
    </row>
    <row r="11" spans="1:6" x14ac:dyDescent="0.25">
      <c r="A11" s="11" t="str">
        <f>Data!$A$5</f>
        <v>Sneha Iyer</v>
      </c>
      <c r="B11" s="21">
        <f>Data!$C$5</f>
        <v>85000</v>
      </c>
      <c r="C11" s="17">
        <f t="shared" si="0"/>
        <v>270000</v>
      </c>
    </row>
    <row r="12" spans="1:6" x14ac:dyDescent="0.25">
      <c r="A12" s="11" t="str">
        <f>Data!$A$6</f>
        <v>Karan Mehta</v>
      </c>
      <c r="B12" s="21">
        <f>Data!$C$6</f>
        <v>67000</v>
      </c>
      <c r="C12" s="17">
        <f t="shared" si="0"/>
        <v>337000</v>
      </c>
    </row>
    <row r="13" spans="1:6" x14ac:dyDescent="0.25">
      <c r="A13" s="11" t="str">
        <f>Data!$A$7</f>
        <v>Isha Singh</v>
      </c>
      <c r="B13" s="21">
        <f>Data!$C$7</f>
        <v>51000</v>
      </c>
      <c r="C13" s="17">
        <f t="shared" si="0"/>
        <v>388000</v>
      </c>
    </row>
    <row r="14" spans="1:6" x14ac:dyDescent="0.25">
      <c r="A14" s="11" t="str">
        <f>Data!$A$8</f>
        <v>Vikram Rao</v>
      </c>
      <c r="B14" s="21">
        <f>Data!$C$8</f>
        <v>59000</v>
      </c>
      <c r="C14" s="17">
        <f t="shared" si="0"/>
        <v>447000</v>
      </c>
    </row>
    <row r="15" spans="1:6" x14ac:dyDescent="0.25">
      <c r="A15" s="11" t="str">
        <f>Data!$A$9</f>
        <v>Neha Joshi</v>
      </c>
      <c r="B15" s="21">
        <f>Data!$C$9</f>
        <v>48000</v>
      </c>
      <c r="C15" s="17">
        <f t="shared" si="0"/>
        <v>495000</v>
      </c>
    </row>
    <row r="16" spans="1:6" x14ac:dyDescent="0.25">
      <c r="A16" s="11" t="str">
        <f>Data!$A$10</f>
        <v>Arjun Nair</v>
      </c>
      <c r="B16" s="21">
        <f>Data!$C$10</f>
        <v>91000</v>
      </c>
      <c r="C16" s="17">
        <f t="shared" si="0"/>
        <v>586000</v>
      </c>
    </row>
    <row r="17" spans="1:6" x14ac:dyDescent="0.25">
      <c r="A17" s="11" t="str">
        <f>Data!$A$11</f>
        <v>Divya Kapoor</v>
      </c>
      <c r="B17" s="21">
        <f>Data!$C$11</f>
        <v>55000</v>
      </c>
      <c r="C17" s="17">
        <f t="shared" si="0"/>
        <v>641000</v>
      </c>
    </row>
    <row r="19" spans="1:6" ht="15" customHeight="1" x14ac:dyDescent="0.25">
      <c r="A19" s="2" t="s">
        <v>193</v>
      </c>
      <c r="B19" s="2"/>
      <c r="C19" s="2"/>
      <c r="D19" s="2"/>
      <c r="E19" s="2"/>
      <c r="F19" s="2"/>
    </row>
    <row r="20" spans="1:6" x14ac:dyDescent="0.25">
      <c r="A20" s="2"/>
      <c r="B20" s="2"/>
      <c r="C20" s="2"/>
      <c r="D20" s="2"/>
      <c r="E20" s="2"/>
      <c r="F20" s="2"/>
    </row>
    <row r="21" spans="1:6" x14ac:dyDescent="0.25">
      <c r="A21" s="2"/>
      <c r="B21" s="2"/>
      <c r="C21" s="2"/>
      <c r="D21" s="2"/>
      <c r="E21" s="2"/>
      <c r="F21" s="2"/>
    </row>
  </sheetData>
  <mergeCells count="3">
    <mergeCell ref="A1:F1"/>
    <mergeCell ref="B3:F5"/>
    <mergeCell ref="A19:F21"/>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4"/>
  <sheetViews>
    <sheetView zoomScaleNormal="100" workbookViewId="0">
      <selection activeCell="B10" sqref="B10"/>
    </sheetView>
  </sheetViews>
  <sheetFormatPr defaultColWidth="8.5703125" defaultRowHeight="15" x14ac:dyDescent="0.25"/>
  <cols>
    <col min="1" max="6" width="22" customWidth="1"/>
  </cols>
  <sheetData>
    <row r="1" spans="1:6" ht="25.5" customHeight="1" x14ac:dyDescent="0.25">
      <c r="A1" s="4" t="s">
        <v>194</v>
      </c>
      <c r="B1" s="4"/>
      <c r="C1" s="4"/>
      <c r="D1" s="4"/>
      <c r="E1" s="4"/>
      <c r="F1" s="4"/>
    </row>
    <row r="3" spans="1:6" ht="15" customHeight="1" x14ac:dyDescent="0.25">
      <c r="A3" s="14" t="s">
        <v>81</v>
      </c>
      <c r="B3" s="3" t="s">
        <v>195</v>
      </c>
      <c r="C3" s="3"/>
      <c r="D3" s="3"/>
      <c r="E3" s="3"/>
      <c r="F3" s="3"/>
    </row>
    <row r="4" spans="1:6" x14ac:dyDescent="0.25">
      <c r="B4" s="3"/>
      <c r="C4" s="3"/>
      <c r="D4" s="3"/>
      <c r="E4" s="3"/>
      <c r="F4" s="3"/>
    </row>
    <row r="5" spans="1:6" x14ac:dyDescent="0.25">
      <c r="B5" s="3"/>
      <c r="C5" s="3"/>
      <c r="D5" s="3"/>
      <c r="E5" s="3"/>
      <c r="F5" s="3"/>
    </row>
    <row r="7" spans="1:6" x14ac:dyDescent="0.25">
      <c r="A7" s="14" t="s">
        <v>180</v>
      </c>
      <c r="B7" s="15">
        <v>25</v>
      </c>
    </row>
    <row r="8" spans="1:6" x14ac:dyDescent="0.25">
      <c r="A8" s="14" t="s">
        <v>196</v>
      </c>
      <c r="B8" s="15">
        <v>32</v>
      </c>
    </row>
    <row r="10" spans="1:6" x14ac:dyDescent="0.25">
      <c r="A10" s="14" t="s">
        <v>197</v>
      </c>
      <c r="B10" s="16">
        <f>COUNTIFS(Data!$D$2:$D$11,"&gt;="&amp;$B$7,Data!$D$2:$D$11,"&lt;="&amp;$B$8)</f>
        <v>6</v>
      </c>
    </row>
    <row r="12" spans="1:6" ht="15" customHeight="1" x14ac:dyDescent="0.25">
      <c r="A12" s="2" t="s">
        <v>198</v>
      </c>
      <c r="B12" s="2"/>
      <c r="C12" s="2"/>
      <c r="D12" s="2"/>
      <c r="E12" s="2"/>
      <c r="F12" s="2"/>
    </row>
    <row r="13" spans="1:6" x14ac:dyDescent="0.25">
      <c r="A13" s="2"/>
      <c r="B13" s="2"/>
      <c r="C13" s="2"/>
      <c r="D13" s="2"/>
      <c r="E13" s="2"/>
      <c r="F13" s="2"/>
    </row>
    <row r="14" spans="1:6" x14ac:dyDescent="0.25">
      <c r="A14" s="2"/>
      <c r="B14" s="2"/>
      <c r="C14" s="2"/>
      <c r="D14" s="2"/>
      <c r="E14" s="2"/>
      <c r="F14" s="2"/>
    </row>
  </sheetData>
  <mergeCells count="3">
    <mergeCell ref="A1:F1"/>
    <mergeCell ref="B3:F5"/>
    <mergeCell ref="A12:F14"/>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1"/>
  <sheetViews>
    <sheetView zoomScaleNormal="100" workbookViewId="0">
      <selection activeCell="B11" sqref="B11"/>
    </sheetView>
  </sheetViews>
  <sheetFormatPr defaultColWidth="25.7109375" defaultRowHeight="15" x14ac:dyDescent="0.25"/>
  <cols>
    <col min="1" max="1" width="50.140625" bestFit="1" customWidth="1"/>
    <col min="2" max="2" width="17.5703125" customWidth="1"/>
  </cols>
  <sheetData>
    <row r="1" spans="1:6" ht="25.5" customHeight="1" x14ac:dyDescent="0.25">
      <c r="A1" s="4" t="s">
        <v>199</v>
      </c>
      <c r="B1" s="4"/>
      <c r="C1" s="4"/>
      <c r="D1" s="4"/>
      <c r="E1" s="4"/>
      <c r="F1" s="4"/>
    </row>
    <row r="3" spans="1:6" ht="15" customHeight="1" x14ac:dyDescent="0.25">
      <c r="A3" s="14" t="s">
        <v>81</v>
      </c>
      <c r="B3" s="3" t="s">
        <v>200</v>
      </c>
      <c r="C3" s="3"/>
      <c r="D3" s="3"/>
      <c r="E3" s="3"/>
      <c r="F3" s="3"/>
    </row>
    <row r="4" spans="1:6" x14ac:dyDescent="0.25">
      <c r="B4" s="3"/>
      <c r="C4" s="3"/>
      <c r="D4" s="3"/>
      <c r="E4" s="3"/>
      <c r="F4" s="3"/>
    </row>
    <row r="5" spans="1:6" x14ac:dyDescent="0.25">
      <c r="B5" s="3"/>
      <c r="C5" s="3"/>
      <c r="D5" s="3"/>
      <c r="E5" s="3"/>
      <c r="F5" s="3"/>
    </row>
    <row r="7" spans="1:6" x14ac:dyDescent="0.25">
      <c r="A7" s="14" t="s">
        <v>201</v>
      </c>
      <c r="B7" s="15" t="s">
        <v>202</v>
      </c>
    </row>
    <row r="9" spans="1:6" x14ac:dyDescent="0.25">
      <c r="A9" s="14" t="s">
        <v>203</v>
      </c>
      <c r="B9" s="16" t="str">
        <f>PROPER($B$7)</f>
        <v>Arjun Nair</v>
      </c>
    </row>
    <row r="10" spans="1:6" x14ac:dyDescent="0.25">
      <c r="A10" s="14" t="s">
        <v>204</v>
      </c>
      <c r="B10" s="16" t="str">
        <f>UPPER($B$7)</f>
        <v>ARJUN NAIR</v>
      </c>
    </row>
    <row r="11" spans="1:6" x14ac:dyDescent="0.25">
      <c r="A11" s="14" t="s">
        <v>205</v>
      </c>
      <c r="B11" s="16" t="str">
        <f>LOWER($B$7)</f>
        <v>arjun nair</v>
      </c>
    </row>
    <row r="13" spans="1:6" x14ac:dyDescent="0.25">
      <c r="A13" s="14" t="s">
        <v>206</v>
      </c>
      <c r="B13" s="16" t="str">
        <f>IFERROR(IF(MATCH(PROPER($B$7),Data!$A$2:$A$11,0)&gt;0,"Yes","No"),"No")</f>
        <v>Yes</v>
      </c>
    </row>
    <row r="15" spans="1:6" ht="15" customHeight="1" x14ac:dyDescent="0.25">
      <c r="A15" s="2" t="s">
        <v>207</v>
      </c>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21" spans="1:6" ht="23.25" x14ac:dyDescent="0.35">
      <c r="A21" s="22"/>
    </row>
  </sheetData>
  <mergeCells count="3">
    <mergeCell ref="A1:F1"/>
    <mergeCell ref="B3:F5"/>
    <mergeCell ref="A15:F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Data</vt:lpstr>
      <vt:lpstr>Index</vt:lpstr>
      <vt:lpstr>Case01_LookupAllFields</vt:lpstr>
      <vt:lpstr>Case02_ListAllMatches</vt:lpstr>
      <vt:lpstr>Case03_SUMIF</vt:lpstr>
      <vt:lpstr>Case04_COUNTIF</vt:lpstr>
      <vt:lpstr>Case05_AVERAGEIF</vt:lpstr>
      <vt:lpstr>Case06_SUMIFS</vt:lpstr>
      <vt:lpstr>Case07_COUNTIFS</vt:lpstr>
      <vt:lpstr>Case08_NestedIF</vt:lpstr>
      <vt:lpstr>Case09_VLOOKUP_ApproxMatch</vt:lpstr>
      <vt:lpstr>Case10_RANK</vt:lpstr>
      <vt:lpstr>Case11_LARGE_SMALL</vt:lpstr>
      <vt:lpstr>Case12_IFERROR_MATCH</vt:lpstr>
      <vt:lpstr>Case13_TEXTJOIN</vt:lpstr>
      <vt:lpstr>Case14_TextFunctions</vt:lpstr>
      <vt:lpstr>Case15_DATE_Functions</vt:lpstr>
      <vt:lpstr>Case16_TwoWayLookup</vt:lpstr>
      <vt:lpstr>Case17_DuplicateCheck</vt:lpstr>
      <vt:lpstr>Case18_SUMPRODUCT</vt:lpstr>
      <vt:lpstr>Case19_MaxMin_Employee</vt:lpstr>
      <vt:lpstr>Case20_RunningTotal</vt:lpstr>
      <vt:lpstr>Case21_AgeBracket</vt:lpstr>
      <vt:lpstr>Case22_TextCasing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Manya Basnal</cp:lastModifiedBy>
  <cp:revision>0</cp:revision>
  <dcterms:created xsi:type="dcterms:W3CDTF">2026-07-22T09:48:08Z</dcterms:created>
  <dcterms:modified xsi:type="dcterms:W3CDTF">2026-09-19T07:57:21Z</dcterms:modified>
  <dc:language>en-US</dc:language>
</cp:coreProperties>
</file>